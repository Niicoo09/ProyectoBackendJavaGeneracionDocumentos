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40\4- Proyectos\A\Aguasol Energy And Sistems, S.L\legFV - Heladería Cafetería Copacabana, S.L\4.- Proyecto\A01 Cálculos\"/>
    </mc:Choice>
  </mc:AlternateContent>
  <xr:revisionPtr revIDLastSave="0" documentId="13_ncr:1_{A4B04E22-FEB5-4290-9F65-F5B8019CA9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Carg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G4" i="1" s="1"/>
  <c r="C2" i="1"/>
  <c r="F4" i="1"/>
  <c r="B18" i="1"/>
  <c r="H6" i="2"/>
  <c r="H7" i="2"/>
  <c r="H5" i="2"/>
  <c r="D8" i="2"/>
  <c r="D6" i="2"/>
  <c r="D7" i="2"/>
  <c r="D5" i="2"/>
  <c r="E18" i="1"/>
  <c r="F18" i="1" s="1"/>
  <c r="F3" i="1" l="1"/>
  <c r="G3" i="1" l="1"/>
  <c r="F2" i="1"/>
  <c r="G2" i="1" l="1"/>
</calcChain>
</file>

<file path=xl/sharedStrings.xml><?xml version="1.0" encoding="utf-8"?>
<sst xmlns="http://schemas.openxmlformats.org/spreadsheetml/2006/main" count="60" uniqueCount="28">
  <si>
    <t>String</t>
  </si>
  <si>
    <t>Nº Módulos</t>
  </si>
  <si>
    <t>Long. (m)</t>
  </si>
  <si>
    <r>
      <t>Sección Mínima (mm</t>
    </r>
    <r>
      <rPr>
        <vertAlign val="superscript"/>
        <sz val="10"/>
        <color rgb="FF000000"/>
        <rFont val="Century"/>
        <family val="1"/>
      </rPr>
      <t>2</t>
    </r>
    <r>
      <rPr>
        <sz val="10"/>
        <color rgb="FF000000"/>
        <rFont val="Century"/>
        <family val="1"/>
      </rPr>
      <t>)</t>
    </r>
  </si>
  <si>
    <t>Int. Adm. (A)</t>
  </si>
  <si>
    <t>¿Cumple?</t>
  </si>
  <si>
    <t>SI</t>
  </si>
  <si>
    <r>
      <t>Sección Mínima (mm</t>
    </r>
    <r>
      <rPr>
        <vertAlign val="superscript"/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)</t>
    </r>
  </si>
  <si>
    <r>
      <t>Sección elegida Cable (mm</t>
    </r>
    <r>
      <rPr>
        <vertAlign val="superscript"/>
        <sz val="9"/>
        <color rgb="FF000000"/>
        <rFont val="Verdana"/>
        <family val="2"/>
      </rPr>
      <t>2</t>
    </r>
    <r>
      <rPr>
        <sz val="9"/>
        <color rgb="FF000000"/>
        <rFont val="Verdana"/>
        <family val="2"/>
      </rPr>
      <t>)</t>
    </r>
  </si>
  <si>
    <t>Longitud
(m)</t>
  </si>
  <si>
    <t>Intensidad
(A)</t>
  </si>
  <si>
    <t>Intensidad Corregida
(+25% - A)</t>
  </si>
  <si>
    <t>Línea</t>
  </si>
  <si>
    <t>Caída de Tensión MAX. (0,5% - V)</t>
  </si>
  <si>
    <t>I (A)</t>
  </si>
  <si>
    <t>I corregida (+25% - A)</t>
  </si>
  <si>
    <r>
      <t>Sección elegida  Cable (mm</t>
    </r>
    <r>
      <rPr>
        <vertAlign val="superscript"/>
        <sz val="10"/>
        <color rgb="FF000000"/>
        <rFont val="Century"/>
        <family val="1"/>
      </rPr>
      <t>2</t>
    </r>
    <r>
      <rPr>
        <sz val="10"/>
        <color rgb="FF000000"/>
        <rFont val="Century"/>
        <family val="1"/>
      </rPr>
      <t>)</t>
    </r>
  </si>
  <si>
    <t>I Adm. (A)</t>
  </si>
  <si>
    <t>Inversor al Cuadro General</t>
  </si>
  <si>
    <t>Caída Tensión MAX</t>
  </si>
  <si>
    <t>Longitud</t>
  </si>
  <si>
    <t>Intensidad</t>
  </si>
  <si>
    <t>Intensidad Corregida</t>
  </si>
  <si>
    <t>(1% - V)</t>
  </si>
  <si>
    <t>(m)</t>
  </si>
  <si>
    <t>(A)</t>
  </si>
  <si>
    <t>(+25% - A)</t>
  </si>
  <si>
    <t>Caída Tensión MAX
(1,5% -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</si>
</sst>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entury"/>
      <family val="1"/>
    </font>
    <font>
      <vertAlign val="superscript"/>
      <sz val="10"/>
      <color rgb="FF000000"/>
      <name val="Century"/>
      <family val="1"/>
    </font>
    <font>
      <sz val="9"/>
      <color theme="1"/>
      <name val="Verdana"/>
      <family val="2"/>
    </font>
    <font>
      <sz val="9"/>
      <color rgb="FF000000"/>
      <name val="Verdana"/>
      <family val="2"/>
    </font>
    <font>
      <vertAlign val="superscript"/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Normal="100" workbookViewId="0">
      <selection activeCell="H19" sqref="H19"/>
    </sheetView>
  </sheetViews>
  <sheetFormatPr baseColWidth="10" defaultRowHeight="14.4" x14ac:dyDescent="0.3"/>
  <cols>
    <col min="1" max="1" width="15" customWidth="1"/>
    <col min="2" max="2" width="13.109375" customWidth="1"/>
    <col min="3" max="3" width="13.5546875" customWidth="1"/>
    <col min="6" max="6" width="13.21875" customWidth="1"/>
    <col min="7" max="7" width="11.33203125" customWidth="1"/>
    <col min="8" max="8" width="13" customWidth="1"/>
    <col min="9" max="9" width="10.44140625" customWidth="1"/>
    <col min="10" max="10" width="10.21875" customWidth="1"/>
  </cols>
  <sheetData>
    <row r="1" spans="1:10" ht="35.4" x14ac:dyDescent="0.3">
      <c r="A1" s="2" t="s">
        <v>0</v>
      </c>
      <c r="B1" s="3" t="s">
        <v>1</v>
      </c>
      <c r="C1" s="3" t="s">
        <v>27</v>
      </c>
      <c r="D1" s="3" t="s">
        <v>9</v>
      </c>
      <c r="E1" s="3" t="s">
        <v>10</v>
      </c>
      <c r="F1" s="3" t="s">
        <v>11</v>
      </c>
      <c r="G1" s="3" t="s">
        <v>7</v>
      </c>
      <c r="H1" s="3" t="s">
        <v>8</v>
      </c>
      <c r="I1" s="3" t="s">
        <v>4</v>
      </c>
      <c r="J1" s="3" t="s">
        <v>5</v>
      </c>
    </row>
    <row r="2" spans="1:10" x14ac:dyDescent="0.3">
      <c r="A2" s="1">
        <v>1</v>
      </c>
      <c r="B2" s="1">
        <v>15</v>
      </c>
      <c r="C2" s="5">
        <f>$C$15*B2*0.015</f>
        <v>12.170249999999999</v>
      </c>
      <c r="D2" s="1">
        <v>10</v>
      </c>
      <c r="E2" s="1">
        <v>14.2</v>
      </c>
      <c r="F2" s="1">
        <f>E2*1.25</f>
        <v>17.75</v>
      </c>
      <c r="G2" s="6">
        <f>2*D2*F2/(52*C2)</f>
        <v>0.56095175340876957</v>
      </c>
      <c r="H2" s="1">
        <v>6</v>
      </c>
      <c r="I2" s="1">
        <v>49</v>
      </c>
      <c r="J2" s="1" t="s">
        <v>6</v>
      </c>
    </row>
    <row r="3" spans="1:10" x14ac:dyDescent="0.3">
      <c r="A3" s="1">
        <v>2</v>
      </c>
      <c r="B3" s="1">
        <v>16</v>
      </c>
      <c r="C3" s="5">
        <f t="shared" ref="C3:C13" si="0">$C$15*B3*0.015</f>
        <v>12.9816</v>
      </c>
      <c r="D3" s="1">
        <v>10</v>
      </c>
      <c r="E3" s="1">
        <v>14.2</v>
      </c>
      <c r="F3" s="1">
        <f t="shared" ref="F3:F13" si="1">E3*1.25</f>
        <v>17.75</v>
      </c>
      <c r="G3" s="6">
        <f t="shared" ref="G3:G13" si="2">2*D3*F3/(52*C3)</f>
        <v>0.52589226882072138</v>
      </c>
      <c r="H3" s="1">
        <v>6</v>
      </c>
      <c r="I3" s="1">
        <v>49</v>
      </c>
      <c r="J3" s="1" t="s">
        <v>6</v>
      </c>
    </row>
    <row r="4" spans="1:10" x14ac:dyDescent="0.3">
      <c r="A4" s="1">
        <v>3</v>
      </c>
      <c r="B4" s="1">
        <v>15</v>
      </c>
      <c r="C4" s="5">
        <f t="shared" si="0"/>
        <v>12.170249999999999</v>
      </c>
      <c r="D4" s="1">
        <v>10</v>
      </c>
      <c r="E4" s="1">
        <v>14.2</v>
      </c>
      <c r="F4" s="1">
        <f t="shared" si="1"/>
        <v>17.75</v>
      </c>
      <c r="G4" s="6">
        <f t="shared" si="2"/>
        <v>0.56095175340876957</v>
      </c>
      <c r="H4" s="1">
        <v>6</v>
      </c>
      <c r="I4" s="1">
        <v>49</v>
      </c>
      <c r="J4" s="1" t="s">
        <v>6</v>
      </c>
    </row>
    <row r="5" spans="1:10" x14ac:dyDescent="0.3">
      <c r="A5" s="1"/>
      <c r="B5" s="1"/>
      <c r="C5" s="5"/>
      <c r="D5" s="1"/>
      <c r="E5" s="1"/>
      <c r="F5" s="1"/>
      <c r="G5" s="6"/>
      <c r="H5" s="1"/>
      <c r="I5" s="1"/>
      <c r="J5" s="1"/>
    </row>
    <row r="6" spans="1:10" x14ac:dyDescent="0.3">
      <c r="A6" s="1"/>
      <c r="B6" s="1"/>
      <c r="C6" s="5"/>
      <c r="D6" s="1"/>
      <c r="E6" s="1"/>
      <c r="F6" s="1"/>
      <c r="G6" s="6"/>
      <c r="H6" s="1"/>
      <c r="I6" s="1"/>
      <c r="J6" s="1"/>
    </row>
    <row r="7" spans="1:10" x14ac:dyDescent="0.3">
      <c r="A7" s="1"/>
      <c r="B7" s="1"/>
      <c r="C7" s="5"/>
      <c r="D7" s="1"/>
      <c r="E7" s="1"/>
      <c r="F7" s="1"/>
      <c r="G7" s="6"/>
      <c r="H7" s="1"/>
      <c r="I7" s="1"/>
      <c r="J7" s="1"/>
    </row>
    <row r="8" spans="1:10" x14ac:dyDescent="0.3">
      <c r="A8" s="1"/>
      <c r="B8" s="1"/>
      <c r="C8" s="5"/>
      <c r="D8" s="1"/>
      <c r="E8" s="1"/>
      <c r="F8" s="1"/>
      <c r="G8" s="6"/>
      <c r="H8" s="1"/>
      <c r="I8" s="1"/>
      <c r="J8" s="1"/>
    </row>
    <row r="9" spans="1:10" x14ac:dyDescent="0.3">
      <c r="A9" s="1"/>
      <c r="B9" s="1"/>
      <c r="C9" s="5"/>
      <c r="D9" s="1"/>
      <c r="E9" s="1"/>
      <c r="F9" s="1"/>
      <c r="G9" s="6"/>
      <c r="H9" s="1"/>
      <c r="I9" s="1"/>
      <c r="J9" s="1"/>
    </row>
    <row r="10" spans="1:10" x14ac:dyDescent="0.3">
      <c r="A10" s="1"/>
      <c r="B10" s="1"/>
      <c r="C10" s="5"/>
      <c r="D10" s="1"/>
      <c r="E10" s="1"/>
      <c r="F10" s="1"/>
      <c r="G10" s="6"/>
      <c r="H10" s="1"/>
      <c r="I10" s="1"/>
      <c r="J10" s="1"/>
    </row>
    <row r="11" spans="1:10" x14ac:dyDescent="0.3">
      <c r="A11" s="9"/>
      <c r="B11" s="10"/>
      <c r="C11" s="5"/>
      <c r="D11" s="1"/>
      <c r="E11" s="1"/>
      <c r="F11" s="1"/>
      <c r="G11" s="6"/>
      <c r="H11" s="1"/>
      <c r="I11" s="1"/>
      <c r="J11" s="1"/>
    </row>
    <row r="12" spans="1:10" x14ac:dyDescent="0.3">
      <c r="A12" s="9"/>
      <c r="B12" s="10"/>
      <c r="C12" s="5"/>
      <c r="D12" s="1"/>
      <c r="E12" s="1"/>
      <c r="F12" s="1"/>
      <c r="G12" s="6"/>
      <c r="H12" s="1"/>
      <c r="I12" s="1"/>
      <c r="J12" s="1"/>
    </row>
    <row r="13" spans="1:10" x14ac:dyDescent="0.3">
      <c r="A13" s="9"/>
      <c r="B13" s="10"/>
      <c r="C13" s="5"/>
      <c r="D13" s="1"/>
      <c r="E13" s="1"/>
      <c r="F13" s="1"/>
      <c r="G13" s="6"/>
      <c r="H13" s="1"/>
      <c r="I13" s="1"/>
      <c r="J13" s="1"/>
    </row>
    <row r="15" spans="1:10" x14ac:dyDescent="0.3">
      <c r="C15" s="4">
        <v>54.09</v>
      </c>
    </row>
    <row r="17" spans="1:9" ht="49.2" x14ac:dyDescent="0.3">
      <c r="A17" s="2" t="s">
        <v>12</v>
      </c>
      <c r="B17" s="2" t="s">
        <v>13</v>
      </c>
      <c r="C17" s="2" t="s">
        <v>2</v>
      </c>
      <c r="D17" s="2" t="s">
        <v>14</v>
      </c>
      <c r="E17" s="2" t="s">
        <v>15</v>
      </c>
      <c r="F17" s="2" t="s">
        <v>3</v>
      </c>
      <c r="G17" s="2" t="s">
        <v>16</v>
      </c>
      <c r="H17" s="2" t="s">
        <v>17</v>
      </c>
      <c r="I17" s="2" t="s">
        <v>5</v>
      </c>
    </row>
    <row r="18" spans="1:9" ht="22.8" x14ac:dyDescent="0.3">
      <c r="A18" s="1" t="s">
        <v>18</v>
      </c>
      <c r="B18" s="1">
        <f>0.005*400</f>
        <v>2</v>
      </c>
      <c r="C18" s="1">
        <v>5</v>
      </c>
      <c r="D18" s="1">
        <v>33.6</v>
      </c>
      <c r="E18" s="1">
        <f>D18*1.25</f>
        <v>42</v>
      </c>
      <c r="F18" s="1">
        <f>(SQRT(3)*C18*E18*0.9)/(56*B18)</f>
        <v>2.9228357377724801</v>
      </c>
      <c r="G18" s="1">
        <v>10</v>
      </c>
      <c r="H18" s="1">
        <v>60</v>
      </c>
      <c r="I18" s="1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6"/>
  <sheetViews>
    <sheetView workbookViewId="0">
      <selection activeCell="B3" sqref="B3:K7"/>
    </sheetView>
  </sheetViews>
  <sheetFormatPr baseColWidth="10" defaultRowHeight="14.4" x14ac:dyDescent="0.3"/>
  <cols>
    <col min="8" max="8" width="12.6640625" bestFit="1" customWidth="1"/>
  </cols>
  <sheetData>
    <row r="2" spans="2:11" ht="15" thickBot="1" x14ac:dyDescent="0.35"/>
    <row r="3" spans="2:11" ht="22.8" x14ac:dyDescent="0.3">
      <c r="B3" s="11" t="s">
        <v>0</v>
      </c>
      <c r="C3" s="11" t="s">
        <v>1</v>
      </c>
      <c r="D3" s="7" t="s">
        <v>19</v>
      </c>
      <c r="E3" s="7" t="s">
        <v>20</v>
      </c>
      <c r="F3" s="7" t="s">
        <v>21</v>
      </c>
      <c r="G3" s="7" t="s">
        <v>22</v>
      </c>
      <c r="H3" s="11" t="s">
        <v>7</v>
      </c>
      <c r="I3" s="11" t="s">
        <v>8</v>
      </c>
      <c r="J3" s="11" t="s">
        <v>4</v>
      </c>
      <c r="K3" s="11" t="s">
        <v>5</v>
      </c>
    </row>
    <row r="4" spans="2:11" x14ac:dyDescent="0.3">
      <c r="B4" s="12"/>
      <c r="C4" s="12"/>
      <c r="D4" s="8" t="s">
        <v>23</v>
      </c>
      <c r="E4" s="8" t="s">
        <v>24</v>
      </c>
      <c r="F4" s="8" t="s">
        <v>25</v>
      </c>
      <c r="G4" s="8" t="s">
        <v>26</v>
      </c>
      <c r="H4" s="12"/>
      <c r="I4" s="12"/>
      <c r="J4" s="12"/>
      <c r="K4" s="12"/>
    </row>
    <row r="5" spans="2:11" x14ac:dyDescent="0.3">
      <c r="B5" s="1">
        <v>1</v>
      </c>
      <c r="C5" s="1">
        <v>19</v>
      </c>
      <c r="D5" s="1">
        <f>49.9*C5*0.01</f>
        <v>9.4809999999999999</v>
      </c>
      <c r="E5" s="1">
        <v>22</v>
      </c>
      <c r="F5" s="1">
        <v>14</v>
      </c>
      <c r="G5" s="1">
        <v>17.5</v>
      </c>
      <c r="H5" s="6">
        <f>(2*E5*F5)/(56*D5)</f>
        <v>1.160215167176458</v>
      </c>
      <c r="I5" s="1">
        <v>6</v>
      </c>
      <c r="J5" s="1">
        <v>35</v>
      </c>
      <c r="K5" s="1" t="s">
        <v>6</v>
      </c>
    </row>
    <row r="6" spans="2:11" x14ac:dyDescent="0.3">
      <c r="B6" s="1">
        <v>2</v>
      </c>
      <c r="C6" s="1">
        <v>19</v>
      </c>
      <c r="D6" s="1">
        <f t="shared" ref="D6:D8" si="0">49.9*C6*0.01</f>
        <v>9.4809999999999999</v>
      </c>
      <c r="E6" s="1">
        <v>22</v>
      </c>
      <c r="F6" s="1">
        <v>14</v>
      </c>
      <c r="G6" s="1">
        <v>17.5</v>
      </c>
      <c r="H6" s="6">
        <f t="shared" ref="H6:H7" si="1">(2*E6*F6)/(56*D6)</f>
        <v>1.160215167176458</v>
      </c>
      <c r="I6" s="1">
        <v>6</v>
      </c>
      <c r="J6" s="1">
        <v>35</v>
      </c>
      <c r="K6" s="1" t="s">
        <v>6</v>
      </c>
    </row>
    <row r="7" spans="2:11" x14ac:dyDescent="0.3">
      <c r="B7" s="1">
        <v>3</v>
      </c>
      <c r="C7" s="1">
        <v>18</v>
      </c>
      <c r="D7" s="1">
        <f t="shared" si="0"/>
        <v>8.9819999999999993</v>
      </c>
      <c r="E7" s="1">
        <v>22</v>
      </c>
      <c r="F7" s="1">
        <v>14</v>
      </c>
      <c r="G7" s="1">
        <v>17.5</v>
      </c>
      <c r="H7" s="6">
        <f t="shared" si="1"/>
        <v>1.2246715653529281</v>
      </c>
      <c r="I7" s="1">
        <v>6</v>
      </c>
      <c r="J7" s="1">
        <v>35</v>
      </c>
      <c r="K7" s="1" t="s">
        <v>6</v>
      </c>
    </row>
    <row r="8" spans="2:11" x14ac:dyDescent="0.3">
      <c r="B8" s="1">
        <v>4</v>
      </c>
      <c r="C8" s="1">
        <v>10</v>
      </c>
      <c r="D8" s="1">
        <f t="shared" si="0"/>
        <v>4.99</v>
      </c>
      <c r="E8" s="1">
        <v>35</v>
      </c>
      <c r="F8" s="1">
        <v>14</v>
      </c>
      <c r="G8" s="1">
        <v>17.5</v>
      </c>
      <c r="H8" s="1">
        <v>2.8774999999999999</v>
      </c>
      <c r="I8" s="1">
        <v>6</v>
      </c>
      <c r="J8" s="1">
        <v>67</v>
      </c>
      <c r="K8" s="1" t="s">
        <v>6</v>
      </c>
    </row>
    <row r="9" spans="2:11" x14ac:dyDescent="0.3">
      <c r="B9" s="1">
        <v>5</v>
      </c>
      <c r="C9" s="1">
        <v>10</v>
      </c>
      <c r="D9" s="1">
        <v>4.99</v>
      </c>
      <c r="E9" s="1">
        <v>35</v>
      </c>
      <c r="F9" s="1">
        <v>14</v>
      </c>
      <c r="G9" s="1">
        <v>17.5</v>
      </c>
      <c r="H9" s="1">
        <v>2.8774999999999999</v>
      </c>
      <c r="I9" s="1">
        <v>6</v>
      </c>
      <c r="J9" s="1">
        <v>67</v>
      </c>
      <c r="K9" s="1" t="s">
        <v>6</v>
      </c>
    </row>
    <row r="10" spans="2:11" x14ac:dyDescent="0.3">
      <c r="B10" s="1">
        <v>6</v>
      </c>
      <c r="C10" s="1">
        <v>10</v>
      </c>
      <c r="D10" s="1">
        <v>4.99</v>
      </c>
      <c r="E10" s="1">
        <v>35</v>
      </c>
      <c r="F10" s="1">
        <v>14</v>
      </c>
      <c r="G10" s="1">
        <v>17.5</v>
      </c>
      <c r="H10" s="1">
        <v>2.8774999999999999</v>
      </c>
      <c r="I10" s="1">
        <v>6</v>
      </c>
      <c r="J10" s="1">
        <v>67</v>
      </c>
      <c r="K10" s="1" t="s">
        <v>6</v>
      </c>
    </row>
    <row r="11" spans="2:11" x14ac:dyDescent="0.3">
      <c r="B11" s="1">
        <v>7</v>
      </c>
      <c r="C11" s="1">
        <v>10</v>
      </c>
      <c r="D11" s="1">
        <v>4.99</v>
      </c>
      <c r="E11" s="1">
        <v>35</v>
      </c>
      <c r="F11" s="1">
        <v>14</v>
      </c>
      <c r="G11" s="1">
        <v>17.5</v>
      </c>
      <c r="H11" s="1">
        <v>2.8774999999999999</v>
      </c>
      <c r="I11" s="1">
        <v>6</v>
      </c>
      <c r="J11" s="1">
        <v>67</v>
      </c>
      <c r="K11" s="1" t="s">
        <v>6</v>
      </c>
    </row>
    <row r="12" spans="2:11" x14ac:dyDescent="0.3">
      <c r="B12" s="1">
        <v>8</v>
      </c>
      <c r="C12" s="1">
        <v>10</v>
      </c>
      <c r="D12" s="1">
        <v>4.99</v>
      </c>
      <c r="E12" s="1">
        <v>35</v>
      </c>
      <c r="F12" s="1">
        <v>14</v>
      </c>
      <c r="G12" s="1">
        <v>17.5</v>
      </c>
      <c r="H12" s="1">
        <v>2.8774999999999999</v>
      </c>
      <c r="I12" s="1">
        <v>6</v>
      </c>
      <c r="J12" s="1">
        <v>67</v>
      </c>
      <c r="K12" s="1" t="s">
        <v>6</v>
      </c>
    </row>
    <row r="13" spans="2:11" x14ac:dyDescent="0.3">
      <c r="B13" s="1">
        <v>9</v>
      </c>
      <c r="C13" s="1">
        <v>10</v>
      </c>
      <c r="D13" s="1">
        <v>4.99</v>
      </c>
      <c r="E13" s="1">
        <v>35</v>
      </c>
      <c r="F13" s="1">
        <v>14</v>
      </c>
      <c r="G13" s="1">
        <v>17.5</v>
      </c>
      <c r="H13" s="1">
        <v>2.8774999999999999</v>
      </c>
      <c r="I13" s="1">
        <v>6</v>
      </c>
      <c r="J13" s="1">
        <v>67</v>
      </c>
      <c r="K13" s="1" t="s">
        <v>6</v>
      </c>
    </row>
    <row r="14" spans="2:11" x14ac:dyDescent="0.3">
      <c r="B14" s="1">
        <v>10</v>
      </c>
      <c r="C14" s="1">
        <v>10</v>
      </c>
      <c r="D14" s="1">
        <v>4.99</v>
      </c>
      <c r="E14" s="1">
        <v>35</v>
      </c>
      <c r="F14" s="1">
        <v>14</v>
      </c>
      <c r="G14" s="1">
        <v>17.5</v>
      </c>
      <c r="H14" s="1">
        <v>2.8774999999999999</v>
      </c>
      <c r="I14" s="1">
        <v>6</v>
      </c>
      <c r="J14" s="1">
        <v>67</v>
      </c>
      <c r="K14" s="1" t="s">
        <v>6</v>
      </c>
    </row>
    <row r="15" spans="2:11" x14ac:dyDescent="0.3">
      <c r="B15" s="1">
        <v>11</v>
      </c>
      <c r="C15" s="1">
        <v>10</v>
      </c>
      <c r="D15" s="1">
        <v>4.99</v>
      </c>
      <c r="E15" s="1">
        <v>35</v>
      </c>
      <c r="F15" s="1">
        <v>14</v>
      </c>
      <c r="G15" s="1">
        <v>17.5</v>
      </c>
      <c r="H15" s="1">
        <v>2.8774999999999999</v>
      </c>
      <c r="I15" s="1">
        <v>6</v>
      </c>
      <c r="J15" s="1">
        <v>67</v>
      </c>
      <c r="K15" s="1" t="s">
        <v>6</v>
      </c>
    </row>
    <row r="16" spans="2:11" x14ac:dyDescent="0.3">
      <c r="B16" s="1">
        <v>12</v>
      </c>
      <c r="C16" s="1">
        <v>10</v>
      </c>
      <c r="D16" s="1">
        <v>4.99</v>
      </c>
      <c r="E16" s="1">
        <v>35</v>
      </c>
      <c r="F16" s="1">
        <v>14</v>
      </c>
      <c r="G16" s="1">
        <v>17.5</v>
      </c>
      <c r="H16" s="1">
        <v>2.8774999999999999</v>
      </c>
      <c r="I16" s="1">
        <v>6</v>
      </c>
      <c r="J16" s="1">
        <v>67</v>
      </c>
      <c r="K16" s="1" t="s">
        <v>6</v>
      </c>
    </row>
    <row r="17" spans="2:11" x14ac:dyDescent="0.3">
      <c r="B17" s="1">
        <v>13</v>
      </c>
      <c r="C17" s="1">
        <v>10</v>
      </c>
      <c r="D17" s="1">
        <v>4.99</v>
      </c>
      <c r="E17" s="1">
        <v>35</v>
      </c>
      <c r="F17" s="1">
        <v>14</v>
      </c>
      <c r="G17" s="1">
        <v>17.5</v>
      </c>
      <c r="H17" s="1">
        <v>2.8774999999999999</v>
      </c>
      <c r="I17" s="1">
        <v>6</v>
      </c>
      <c r="J17" s="1">
        <v>67</v>
      </c>
      <c r="K17" s="1" t="s">
        <v>6</v>
      </c>
    </row>
    <row r="18" spans="2:11" x14ac:dyDescent="0.3">
      <c r="B18" s="1">
        <v>14</v>
      </c>
      <c r="C18" s="1">
        <v>10</v>
      </c>
      <c r="D18" s="1">
        <v>4.99</v>
      </c>
      <c r="E18" s="1">
        <v>35</v>
      </c>
      <c r="F18" s="1">
        <v>14</v>
      </c>
      <c r="G18" s="1">
        <v>17.5</v>
      </c>
      <c r="H18" s="1">
        <v>2.8774999999999999</v>
      </c>
      <c r="I18" s="1">
        <v>6</v>
      </c>
      <c r="J18" s="1">
        <v>67</v>
      </c>
      <c r="K18" s="1" t="s">
        <v>6</v>
      </c>
    </row>
    <row r="19" spans="2:11" x14ac:dyDescent="0.3">
      <c r="B19" s="1">
        <v>15</v>
      </c>
      <c r="C19" s="1">
        <v>10</v>
      </c>
      <c r="D19" s="1">
        <v>4.99</v>
      </c>
      <c r="E19" s="1">
        <v>35</v>
      </c>
      <c r="F19" s="1">
        <v>14</v>
      </c>
      <c r="G19" s="1">
        <v>17.5</v>
      </c>
      <c r="H19" s="1">
        <v>2.8774999999999999</v>
      </c>
      <c r="I19" s="1">
        <v>6</v>
      </c>
      <c r="J19" s="1">
        <v>67</v>
      </c>
      <c r="K19" s="1" t="s">
        <v>6</v>
      </c>
    </row>
    <row r="20" spans="2:11" x14ac:dyDescent="0.3">
      <c r="B20" s="1">
        <v>16</v>
      </c>
      <c r="C20" s="1">
        <v>10</v>
      </c>
      <c r="D20" s="1">
        <v>4.99</v>
      </c>
      <c r="E20" s="1">
        <v>35</v>
      </c>
      <c r="F20" s="1">
        <v>14</v>
      </c>
      <c r="G20" s="1">
        <v>17.5</v>
      </c>
      <c r="H20" s="1">
        <v>2.8774999999999999</v>
      </c>
      <c r="I20" s="1">
        <v>6</v>
      </c>
      <c r="J20" s="1">
        <v>67</v>
      </c>
      <c r="K20" s="1" t="s">
        <v>6</v>
      </c>
    </row>
    <row r="21" spans="2:11" x14ac:dyDescent="0.3">
      <c r="B21" s="1">
        <v>17</v>
      </c>
      <c r="C21" s="1">
        <v>16</v>
      </c>
      <c r="D21" s="1">
        <v>7.98</v>
      </c>
      <c r="E21" s="1">
        <v>50</v>
      </c>
      <c r="F21" s="1">
        <v>14</v>
      </c>
      <c r="G21" s="1">
        <v>17.5</v>
      </c>
      <c r="H21" s="1">
        <v>2.5693000000000001</v>
      </c>
      <c r="I21" s="1">
        <v>6</v>
      </c>
      <c r="J21" s="1">
        <v>67</v>
      </c>
      <c r="K21" s="1" t="s">
        <v>6</v>
      </c>
    </row>
    <row r="22" spans="2:11" x14ac:dyDescent="0.3">
      <c r="B22" s="1">
        <v>18</v>
      </c>
      <c r="C22" s="1">
        <v>16</v>
      </c>
      <c r="D22" s="1">
        <v>7.98</v>
      </c>
      <c r="E22" s="1">
        <v>50</v>
      </c>
      <c r="F22" s="1">
        <v>14</v>
      </c>
      <c r="G22" s="1">
        <v>17.5</v>
      </c>
      <c r="H22" s="1">
        <v>2.5693000000000001</v>
      </c>
      <c r="I22" s="1">
        <v>6</v>
      </c>
      <c r="J22" s="1">
        <v>67</v>
      </c>
      <c r="K22" s="1" t="s">
        <v>6</v>
      </c>
    </row>
    <row r="23" spans="2:11" x14ac:dyDescent="0.3">
      <c r="B23" s="1">
        <v>19</v>
      </c>
      <c r="C23" s="1">
        <v>16</v>
      </c>
      <c r="D23" s="1">
        <v>7.98</v>
      </c>
      <c r="E23" s="1">
        <v>50</v>
      </c>
      <c r="F23" s="1">
        <v>14</v>
      </c>
      <c r="G23" s="1">
        <v>17.5</v>
      </c>
      <c r="H23" s="1">
        <v>2.5693000000000001</v>
      </c>
      <c r="I23" s="1">
        <v>6</v>
      </c>
      <c r="J23" s="1">
        <v>67</v>
      </c>
      <c r="K23" s="1" t="s">
        <v>6</v>
      </c>
    </row>
    <row r="24" spans="2:11" x14ac:dyDescent="0.3">
      <c r="B24" s="1">
        <v>20</v>
      </c>
      <c r="C24" s="1">
        <v>16</v>
      </c>
      <c r="D24" s="1">
        <v>7.98</v>
      </c>
      <c r="E24" s="1">
        <v>50</v>
      </c>
      <c r="F24" s="1">
        <v>14</v>
      </c>
      <c r="G24" s="1">
        <v>17.5</v>
      </c>
      <c r="H24" s="1">
        <v>2.5693000000000001</v>
      </c>
      <c r="I24" s="1">
        <v>6</v>
      </c>
      <c r="J24" s="1">
        <v>67</v>
      </c>
      <c r="K24" s="1" t="s">
        <v>6</v>
      </c>
    </row>
    <row r="25" spans="2:11" x14ac:dyDescent="0.3">
      <c r="B25" s="1">
        <v>21</v>
      </c>
      <c r="C25" s="1">
        <v>13</v>
      </c>
      <c r="D25" s="1">
        <v>6.49</v>
      </c>
      <c r="E25" s="1">
        <v>45</v>
      </c>
      <c r="F25" s="1">
        <v>14</v>
      </c>
      <c r="G25" s="1">
        <v>17.5</v>
      </c>
      <c r="H25" s="1">
        <v>2.8460000000000001</v>
      </c>
      <c r="I25" s="1">
        <v>6</v>
      </c>
      <c r="J25" s="1">
        <v>67</v>
      </c>
      <c r="K25" s="1" t="s">
        <v>6</v>
      </c>
    </row>
    <row r="26" spans="2:11" x14ac:dyDescent="0.3">
      <c r="B26" s="1">
        <v>22</v>
      </c>
      <c r="C26" s="1">
        <v>13</v>
      </c>
      <c r="D26" s="1">
        <v>6.49</v>
      </c>
      <c r="E26" s="1">
        <v>45</v>
      </c>
      <c r="F26" s="1">
        <v>14</v>
      </c>
      <c r="G26" s="1">
        <v>17.5</v>
      </c>
      <c r="H26" s="1">
        <v>2.8460000000000001</v>
      </c>
      <c r="I26" s="1">
        <v>6</v>
      </c>
      <c r="J26" s="1">
        <v>67</v>
      </c>
      <c r="K26" s="1" t="s">
        <v>6</v>
      </c>
    </row>
  </sheetData>
  <mergeCells count="6">
    <mergeCell ref="K3:K4"/>
    <mergeCell ref="B3:B4"/>
    <mergeCell ref="C3:C4"/>
    <mergeCell ref="H3:H4"/>
    <mergeCell ref="I3:I4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Rivera</cp:lastModifiedBy>
  <dcterms:created xsi:type="dcterms:W3CDTF">2021-04-07T23:46:52Z</dcterms:created>
  <dcterms:modified xsi:type="dcterms:W3CDTF">2024-10-03T07:53:45Z</dcterms:modified>
</cp:coreProperties>
</file>