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40\4.- Proyectos\L\Laura Martínez Aragón\prodolegFV\2.- Proyecto\Proyecto Revisado\A07 Estudio de Gestión de Resíduos\"/>
    </mc:Choice>
  </mc:AlternateContent>
  <xr:revisionPtr revIDLastSave="0" documentId="13_ncr:1_{2300D58E-7805-4DC8-A764-89BD49E5C1AC}" xr6:coauthVersionLast="47" xr6:coauthVersionMax="47" xr10:uidLastSave="{00000000-0000-0000-0000-000000000000}"/>
  <bookViews>
    <workbookView xWindow="-28920" yWindow="-120" windowWidth="29040" windowHeight="15840" activeTab="2" xr2:uid="{78242442-E12E-4D40-B22C-CCE4785DE575}"/>
  </bookViews>
  <sheets>
    <sheet name="Estimación" sheetId="2" r:id="rId1"/>
    <sheet name="Hoja1" sheetId="1" r:id="rId2"/>
    <sheet name="Hoja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5" i="3"/>
  <c r="E4" i="3"/>
  <c r="E6" i="3"/>
  <c r="C16" i="2"/>
  <c r="E6" i="2"/>
  <c r="F6" i="2" s="1"/>
  <c r="E5" i="2"/>
  <c r="F5" i="2" s="1"/>
  <c r="E4" i="2"/>
  <c r="E7" i="2" l="1"/>
  <c r="F4" i="2"/>
  <c r="F7" i="2" s="1"/>
  <c r="D15" i="2" l="1"/>
  <c r="D12" i="2"/>
  <c r="D11" i="2"/>
  <c r="D14" i="2"/>
  <c r="D13" i="2"/>
  <c r="D10" i="2"/>
  <c r="D9" i="2"/>
</calcChain>
</file>

<file path=xl/sharedStrings.xml><?xml version="1.0" encoding="utf-8"?>
<sst xmlns="http://schemas.openxmlformats.org/spreadsheetml/2006/main" count="102" uniqueCount="67">
  <si>
    <t>Tratamiento</t>
  </si>
  <si>
    <t>X</t>
  </si>
  <si>
    <t>Destino</t>
  </si>
  <si>
    <t>Reciclado</t>
  </si>
  <si>
    <t>20 01 01</t>
  </si>
  <si>
    <t>RCD: Potencialmente peligrosos y otros</t>
  </si>
  <si>
    <t>20 03 01</t>
  </si>
  <si>
    <t>Mezcla de residuos municipales</t>
  </si>
  <si>
    <t>Reciclado / Vertedero</t>
  </si>
  <si>
    <t>Planta de reciclaje RSU</t>
  </si>
  <si>
    <t>15 01 10</t>
  </si>
  <si>
    <t>Envases vacíos de metal o plástico contaminado</t>
  </si>
  <si>
    <t>17 09 04</t>
  </si>
  <si>
    <t>RCDs mezclados distintos códigos 19 09 01, 02 y 03</t>
  </si>
  <si>
    <t>Depósito / Tratamiento</t>
  </si>
  <si>
    <t>Gestor autorizado RPs</t>
  </si>
  <si>
    <t>Restauración / Vertedero</t>
  </si>
  <si>
    <t>Tipo de obra</t>
  </si>
  <si>
    <t>Superficie (m2)</t>
  </si>
  <si>
    <t>Coeficiente (m3/m2)</t>
  </si>
  <si>
    <t>Volúmen Total RCD's (m3)</t>
  </si>
  <si>
    <t>Peso total PCD's (Tm)</t>
  </si>
  <si>
    <t>Nueva construcción</t>
  </si>
  <si>
    <t>Demolición</t>
  </si>
  <si>
    <t>Reforma</t>
  </si>
  <si>
    <t>Total</t>
  </si>
  <si>
    <t>Densidad (Tn/m3)</t>
  </si>
  <si>
    <t>Hormigón</t>
  </si>
  <si>
    <t>Ladrillos y Tejas</t>
  </si>
  <si>
    <t>Vidrios</t>
  </si>
  <si>
    <t>Plásticos</t>
  </si>
  <si>
    <t>Metales</t>
  </si>
  <si>
    <t>Madera</t>
  </si>
  <si>
    <t>Papel y cartón</t>
  </si>
  <si>
    <t>Plástico</t>
  </si>
  <si>
    <t>Basuras</t>
  </si>
  <si>
    <t>Potencialmente peligrosos y otros</t>
  </si>
  <si>
    <t>RCD</t>
  </si>
  <si>
    <t>17 01 01</t>
  </si>
  <si>
    <t>Ladrillos y otros</t>
  </si>
  <si>
    <t>Ladrillos; Tejas y materiales cerámicos</t>
  </si>
  <si>
    <t>17 01 02; 17 01 03</t>
  </si>
  <si>
    <t>17 02 01</t>
  </si>
  <si>
    <t>Gestor autorizado</t>
  </si>
  <si>
    <t>Vidrio</t>
  </si>
  <si>
    <t>17 02 02</t>
  </si>
  <si>
    <t>17 02 03</t>
  </si>
  <si>
    <t>17 04 07</t>
  </si>
  <si>
    <t>Metales mezclados</t>
  </si>
  <si>
    <t>Materiales de construcción</t>
  </si>
  <si>
    <t>17 08 02</t>
  </si>
  <si>
    <t>Materiales de construcción a base de yeso</t>
  </si>
  <si>
    <t>Papel y Cartón</t>
  </si>
  <si>
    <t>Tipo de Resíduo</t>
  </si>
  <si>
    <t>Resíduos de construcción y Demolición</t>
  </si>
  <si>
    <t>tierras no reutilizadas</t>
  </si>
  <si>
    <r>
      <t>Volúmen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)
</t>
    </r>
    <r>
      <rPr>
        <sz val="8"/>
        <color theme="1"/>
        <rFont val="Calibri"/>
        <family val="2"/>
        <scheme val="minor"/>
      </rPr>
      <t>(1)</t>
    </r>
  </si>
  <si>
    <r>
      <t>Coste gestión (€/m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)
</t>
    </r>
    <r>
      <rPr>
        <sz val="8"/>
        <color theme="1"/>
        <rFont val="Calibri"/>
        <family val="2"/>
        <scheme val="minor"/>
      </rPr>
      <t>(2)</t>
    </r>
  </si>
  <si>
    <r>
      <t xml:space="preserve">Total (€)
</t>
    </r>
    <r>
      <rPr>
        <sz val="8"/>
        <color theme="1"/>
        <rFont val="Calibri"/>
        <family val="2"/>
        <scheme val="minor"/>
      </rPr>
      <t>(3)</t>
    </r>
  </si>
  <si>
    <t>Tipo de Residuo</t>
  </si>
  <si>
    <t>Peso (kg)</t>
  </si>
  <si>
    <t>Coste gestión (€/kg)</t>
  </si>
  <si>
    <t>Total (€)</t>
  </si>
  <si>
    <t>(3) (4)</t>
  </si>
  <si>
    <t>Residuos de construcción y Demolición</t>
  </si>
  <si>
    <t>Costes indirectos (8%)</t>
  </si>
  <si>
    <t>Tierras no reutilizadas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</si>
</sst>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0.000"/>
    <numFmt numFmtId="165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0" fontId="1" fillId="0" borderId="0" xfId="0" applyNumberFormat="1" applyFont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left" vertical="center" wrapText="1"/>
    </xf>
    <xf numFmtId="2" fontId="0" fillId="0" borderId="2" xfId="0" applyNumberFormat="1" applyBorder="1" applyAlignment="1">
      <alignment horizontal="left" vertical="center" wrapText="1"/>
    </xf>
    <xf numFmtId="2" fontId="0" fillId="0" borderId="4" xfId="0" applyNumberForma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8" fontId="5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8" fontId="8" fillId="0" borderId="6" xfId="0" applyNumberFormat="1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26</xdr:row>
      <xdr:rowOff>9525</xdr:rowOff>
    </xdr:from>
    <xdr:to>
      <xdr:col>5</xdr:col>
      <xdr:colOff>498475</xdr:colOff>
      <xdr:row>33</xdr:row>
      <xdr:rowOff>110490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645C72-BDD0-42AB-8245-1CA27BA68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4714875"/>
          <a:ext cx="5365750" cy="136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42F6-7844-4295-8FCB-001F12A0E7AE}">
  <dimension ref="B3:H16"/>
  <sheetViews>
    <sheetView workbookViewId="0">
      <selection activeCell="E6" sqref="E6"/>
    </sheetView>
  </sheetViews>
  <sheetFormatPr baseColWidth="10" defaultRowHeight="14.4" x14ac:dyDescent="0.3"/>
  <cols>
    <col min="1" max="1" width="11.5546875" style="3"/>
    <col min="2" max="2" width="22.5546875" style="3" customWidth="1"/>
    <col min="3" max="3" width="19.44140625" style="3" customWidth="1"/>
    <col min="4" max="4" width="19.33203125" style="3" customWidth="1"/>
    <col min="5" max="5" width="17.5546875" style="3" customWidth="1"/>
    <col min="6" max="6" width="17.33203125" style="3" customWidth="1"/>
    <col min="7" max="7" width="11.5546875" style="3"/>
    <col min="8" max="8" width="16.33203125" style="3" customWidth="1"/>
    <col min="9" max="16384" width="11.5546875" style="3"/>
  </cols>
  <sheetData>
    <row r="3" spans="2:8" ht="28.8" x14ac:dyDescent="0.3"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H3" s="3" t="s">
        <v>26</v>
      </c>
    </row>
    <row r="4" spans="2:8" x14ac:dyDescent="0.3">
      <c r="B4" s="5" t="s">
        <v>22</v>
      </c>
      <c r="C4" s="5">
        <v>0</v>
      </c>
      <c r="D4" s="5">
        <v>0.12</v>
      </c>
      <c r="E4" s="5">
        <f>C4*D4</f>
        <v>0</v>
      </c>
      <c r="F4" s="5">
        <f>E4*H4</f>
        <v>0</v>
      </c>
      <c r="H4" s="3">
        <v>1.5</v>
      </c>
    </row>
    <row r="5" spans="2:8" x14ac:dyDescent="0.3">
      <c r="B5" s="5" t="s">
        <v>23</v>
      </c>
      <c r="C5" s="5">
        <v>0</v>
      </c>
      <c r="D5" s="5">
        <v>0.85</v>
      </c>
      <c r="E5" s="5">
        <f t="shared" ref="E5" si="0">C5*D5</f>
        <v>0</v>
      </c>
      <c r="F5" s="5">
        <f>E5*H5</f>
        <v>0</v>
      </c>
      <c r="H5" s="3">
        <v>1.5</v>
      </c>
    </row>
    <row r="6" spans="2:8" x14ac:dyDescent="0.3">
      <c r="B6" s="5" t="s">
        <v>24</v>
      </c>
      <c r="C6" s="5">
        <v>1429.7</v>
      </c>
      <c r="D6" s="7">
        <v>0.12</v>
      </c>
      <c r="E6" s="5">
        <f>C6*D6</f>
        <v>171.56399999999999</v>
      </c>
      <c r="F6" s="5">
        <f>E6*H6</f>
        <v>188.72040000000001</v>
      </c>
      <c r="H6" s="3">
        <v>1.1000000000000001</v>
      </c>
    </row>
    <row r="7" spans="2:8" x14ac:dyDescent="0.3">
      <c r="B7" s="20" t="s">
        <v>25</v>
      </c>
      <c r="C7" s="21"/>
      <c r="D7" s="22"/>
      <c r="E7" s="6">
        <f>SUM(E4:E6)</f>
        <v>171.56399999999999</v>
      </c>
      <c r="F7" s="6">
        <f>SUM(F4:F6)</f>
        <v>188.72040000000001</v>
      </c>
    </row>
    <row r="9" spans="2:8" x14ac:dyDescent="0.3">
      <c r="B9" s="8" t="s">
        <v>27</v>
      </c>
      <c r="C9" s="9">
        <v>0.1</v>
      </c>
      <c r="D9" s="3">
        <f>$F$7*C9</f>
        <v>18.872040000000002</v>
      </c>
    </row>
    <row r="10" spans="2:8" x14ac:dyDescent="0.3">
      <c r="B10" s="8" t="s">
        <v>28</v>
      </c>
      <c r="C10" s="9">
        <v>0.68</v>
      </c>
      <c r="D10" s="3">
        <f t="shared" ref="D10:D15" si="1">$F$7*C10</f>
        <v>128.32987200000002</v>
      </c>
    </row>
    <row r="11" spans="2:8" x14ac:dyDescent="0.3">
      <c r="B11" s="8" t="s">
        <v>31</v>
      </c>
      <c r="C11" s="9">
        <v>0.05</v>
      </c>
      <c r="D11" s="3">
        <f>$F$7*C11</f>
        <v>9.436020000000001</v>
      </c>
    </row>
    <row r="12" spans="2:8" x14ac:dyDescent="0.3">
      <c r="B12" s="8" t="s">
        <v>32</v>
      </c>
      <c r="C12" s="9">
        <v>7.0000000000000007E-2</v>
      </c>
      <c r="D12" s="3">
        <f>$F$7*C12</f>
        <v>13.210428000000002</v>
      </c>
    </row>
    <row r="13" spans="2:8" x14ac:dyDescent="0.3">
      <c r="B13" s="8" t="s">
        <v>29</v>
      </c>
      <c r="C13" s="9">
        <v>0.03</v>
      </c>
      <c r="D13" s="3">
        <f t="shared" si="1"/>
        <v>5.6616119999999999</v>
      </c>
    </row>
    <row r="14" spans="2:8" x14ac:dyDescent="0.3">
      <c r="B14" s="8" t="s">
        <v>30</v>
      </c>
      <c r="C14" s="9">
        <v>0.04</v>
      </c>
      <c r="D14" s="3">
        <f t="shared" si="1"/>
        <v>7.5488160000000004</v>
      </c>
    </row>
    <row r="15" spans="2:8" x14ac:dyDescent="0.3">
      <c r="B15" s="8" t="s">
        <v>33</v>
      </c>
      <c r="C15" s="9">
        <v>0.03</v>
      </c>
      <c r="D15" s="3">
        <f t="shared" si="1"/>
        <v>5.6616119999999999</v>
      </c>
    </row>
    <row r="16" spans="2:8" x14ac:dyDescent="0.3">
      <c r="B16" s="8"/>
      <c r="C16" s="10">
        <f>SUM(C9:C15)</f>
        <v>1.0000000000000002</v>
      </c>
    </row>
  </sheetData>
  <mergeCells count="1">
    <mergeCell ref="B7:D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6E17-695A-4DE4-9761-37E4DC4827AE}">
  <dimension ref="B3:F25"/>
  <sheetViews>
    <sheetView zoomScale="85" zoomScaleNormal="85" workbookViewId="0">
      <selection activeCell="I9" sqref="I9"/>
    </sheetView>
  </sheetViews>
  <sheetFormatPr baseColWidth="10" defaultRowHeight="14.4" x14ac:dyDescent="0.3"/>
  <cols>
    <col min="1" max="1" width="11.5546875" style="1"/>
    <col min="2" max="2" width="7.88671875" style="1" customWidth="1"/>
    <col min="3" max="3" width="17.77734375" style="1" customWidth="1"/>
    <col min="4" max="4" width="43" style="1" customWidth="1"/>
    <col min="5" max="5" width="24.21875" style="1" customWidth="1"/>
    <col min="6" max="6" width="29.33203125" style="1" customWidth="1"/>
    <col min="7" max="16384" width="11.5546875" style="1"/>
  </cols>
  <sheetData>
    <row r="3" spans="2:6" ht="17.399999999999999" customHeight="1" x14ac:dyDescent="0.3">
      <c r="B3" s="23" t="s">
        <v>37</v>
      </c>
      <c r="C3" s="24"/>
      <c r="D3" s="25"/>
      <c r="E3" s="13" t="s">
        <v>0</v>
      </c>
      <c r="F3" s="13" t="s">
        <v>2</v>
      </c>
    </row>
    <row r="4" spans="2:6" ht="17.399999999999999" customHeight="1" x14ac:dyDescent="0.3">
      <c r="B4" s="11"/>
      <c r="C4" s="12" t="s">
        <v>27</v>
      </c>
      <c r="D4" s="11"/>
      <c r="E4" s="11"/>
      <c r="F4" s="11"/>
    </row>
    <row r="5" spans="2:6" ht="17.399999999999999" customHeight="1" x14ac:dyDescent="0.3">
      <c r="B5" s="2" t="s">
        <v>1</v>
      </c>
      <c r="C5" s="2" t="s">
        <v>38</v>
      </c>
      <c r="D5" s="2" t="s">
        <v>27</v>
      </c>
      <c r="E5" s="2" t="s">
        <v>3</v>
      </c>
      <c r="F5" s="2" t="s">
        <v>43</v>
      </c>
    </row>
    <row r="6" spans="2:6" ht="17.399999999999999" customHeight="1" x14ac:dyDescent="0.3">
      <c r="B6" s="11"/>
      <c r="C6" s="12" t="s">
        <v>39</v>
      </c>
      <c r="D6" s="11"/>
      <c r="E6" s="11"/>
      <c r="F6" s="11"/>
    </row>
    <row r="7" spans="2:6" ht="17.399999999999999" customHeight="1" x14ac:dyDescent="0.3">
      <c r="B7" s="2" t="s">
        <v>1</v>
      </c>
      <c r="C7" s="2" t="s">
        <v>41</v>
      </c>
      <c r="D7" s="2" t="s">
        <v>40</v>
      </c>
      <c r="E7" s="2" t="s">
        <v>3</v>
      </c>
      <c r="F7" s="2" t="s">
        <v>43</v>
      </c>
    </row>
    <row r="8" spans="2:6" ht="17.399999999999999" customHeight="1" x14ac:dyDescent="0.3">
      <c r="B8" s="11"/>
      <c r="C8" s="12" t="s">
        <v>32</v>
      </c>
      <c r="D8" s="11"/>
      <c r="E8" s="11"/>
      <c r="F8" s="11"/>
    </row>
    <row r="9" spans="2:6" ht="17.399999999999999" customHeight="1" x14ac:dyDescent="0.3">
      <c r="B9" s="2" t="s">
        <v>1</v>
      </c>
      <c r="C9" s="2" t="s">
        <v>42</v>
      </c>
      <c r="D9" s="2" t="s">
        <v>32</v>
      </c>
      <c r="E9" s="2" t="s">
        <v>3</v>
      </c>
      <c r="F9" s="2" t="s">
        <v>43</v>
      </c>
    </row>
    <row r="10" spans="2:6" ht="17.399999999999999" customHeight="1" x14ac:dyDescent="0.3">
      <c r="B10" s="11"/>
      <c r="C10" s="12" t="s">
        <v>44</v>
      </c>
      <c r="D10" s="11"/>
      <c r="E10" s="11"/>
      <c r="F10" s="11"/>
    </row>
    <row r="11" spans="2:6" ht="17.399999999999999" customHeight="1" x14ac:dyDescent="0.3">
      <c r="B11" s="2" t="s">
        <v>1</v>
      </c>
      <c r="C11" s="2" t="s">
        <v>45</v>
      </c>
      <c r="D11" s="2" t="s">
        <v>44</v>
      </c>
      <c r="E11" s="2" t="s">
        <v>3</v>
      </c>
      <c r="F11" s="2" t="s">
        <v>43</v>
      </c>
    </row>
    <row r="12" spans="2:6" ht="21.6" customHeight="1" x14ac:dyDescent="0.3">
      <c r="B12" s="11"/>
      <c r="C12" s="12" t="s">
        <v>31</v>
      </c>
      <c r="D12" s="11"/>
      <c r="E12" s="11"/>
      <c r="F12" s="11"/>
    </row>
    <row r="13" spans="2:6" ht="18" customHeight="1" x14ac:dyDescent="0.3">
      <c r="B13" s="2" t="s">
        <v>1</v>
      </c>
      <c r="C13" s="2" t="s">
        <v>47</v>
      </c>
      <c r="D13" s="2" t="s">
        <v>48</v>
      </c>
      <c r="E13" s="2" t="s">
        <v>3</v>
      </c>
      <c r="F13" s="2" t="s">
        <v>43</v>
      </c>
    </row>
    <row r="14" spans="2:6" ht="18" customHeight="1" x14ac:dyDescent="0.3">
      <c r="B14" s="11"/>
      <c r="C14" s="12" t="s">
        <v>49</v>
      </c>
      <c r="D14" s="11"/>
      <c r="E14" s="11"/>
      <c r="F14" s="11"/>
    </row>
    <row r="15" spans="2:6" ht="18" customHeight="1" x14ac:dyDescent="0.3">
      <c r="B15" s="2" t="s">
        <v>1</v>
      </c>
      <c r="C15" s="2" t="s">
        <v>50</v>
      </c>
      <c r="D15" s="2" t="s">
        <v>51</v>
      </c>
      <c r="E15" s="2" t="s">
        <v>3</v>
      </c>
      <c r="F15" s="2" t="s">
        <v>43</v>
      </c>
    </row>
    <row r="16" spans="2:6" ht="21.6" customHeight="1" x14ac:dyDescent="0.3">
      <c r="B16" s="11"/>
      <c r="C16" s="12" t="s">
        <v>33</v>
      </c>
      <c r="D16" s="11"/>
      <c r="E16" s="11"/>
      <c r="F16" s="11"/>
    </row>
    <row r="17" spans="2:6" x14ac:dyDescent="0.3">
      <c r="B17" s="2" t="s">
        <v>1</v>
      </c>
      <c r="C17" s="2" t="s">
        <v>4</v>
      </c>
      <c r="D17" s="2" t="s">
        <v>52</v>
      </c>
      <c r="E17" s="2" t="s">
        <v>3</v>
      </c>
      <c r="F17" s="2" t="s">
        <v>43</v>
      </c>
    </row>
    <row r="18" spans="2:6" ht="21.6" customHeight="1" x14ac:dyDescent="0.3">
      <c r="B18" s="11"/>
      <c r="C18" s="12" t="s">
        <v>34</v>
      </c>
      <c r="D18" s="11"/>
      <c r="E18" s="11"/>
      <c r="F18" s="11"/>
    </row>
    <row r="19" spans="2:6" x14ac:dyDescent="0.3">
      <c r="B19" s="2" t="s">
        <v>1</v>
      </c>
      <c r="C19" s="2" t="s">
        <v>46</v>
      </c>
      <c r="D19" s="2" t="s">
        <v>34</v>
      </c>
      <c r="E19" s="2" t="s">
        <v>3</v>
      </c>
      <c r="F19" s="2" t="s">
        <v>43</v>
      </c>
    </row>
    <row r="20" spans="2:6" ht="17.399999999999999" customHeight="1" x14ac:dyDescent="0.3">
      <c r="B20" s="23" t="s">
        <v>5</v>
      </c>
      <c r="C20" s="24"/>
      <c r="D20" s="25"/>
      <c r="E20" s="13" t="s">
        <v>0</v>
      </c>
      <c r="F20" s="13" t="s">
        <v>2</v>
      </c>
    </row>
    <row r="21" spans="2:6" ht="21.6" customHeight="1" x14ac:dyDescent="0.3">
      <c r="B21" s="11"/>
      <c r="C21" s="12" t="s">
        <v>35</v>
      </c>
      <c r="D21" s="11"/>
      <c r="E21" s="11"/>
      <c r="F21" s="11"/>
    </row>
    <row r="22" spans="2:6" ht="18" customHeight="1" x14ac:dyDescent="0.3">
      <c r="B22" s="2" t="s">
        <v>1</v>
      </c>
      <c r="C22" s="2" t="s">
        <v>6</v>
      </c>
      <c r="D22" s="2" t="s">
        <v>7</v>
      </c>
      <c r="E22" s="2" t="s">
        <v>8</v>
      </c>
      <c r="F22" s="2" t="s">
        <v>9</v>
      </c>
    </row>
    <row r="23" spans="2:6" ht="21.6" customHeight="1" x14ac:dyDescent="0.3">
      <c r="B23" s="11"/>
      <c r="C23" s="12" t="s">
        <v>36</v>
      </c>
      <c r="D23" s="11"/>
      <c r="E23" s="11"/>
      <c r="F23" s="11"/>
    </row>
    <row r="24" spans="2:6" ht="18" customHeight="1" x14ac:dyDescent="0.3">
      <c r="B24" s="2" t="s">
        <v>1</v>
      </c>
      <c r="C24" s="2" t="s">
        <v>10</v>
      </c>
      <c r="D24" s="2" t="s">
        <v>11</v>
      </c>
      <c r="E24" s="2" t="s">
        <v>14</v>
      </c>
      <c r="F24" s="2" t="s">
        <v>15</v>
      </c>
    </row>
    <row r="25" spans="2:6" ht="18" customHeight="1" x14ac:dyDescent="0.3">
      <c r="B25" s="2" t="s">
        <v>1</v>
      </c>
      <c r="C25" s="2" t="s">
        <v>12</v>
      </c>
      <c r="D25" s="2" t="s">
        <v>13</v>
      </c>
      <c r="E25" s="2" t="s">
        <v>14</v>
      </c>
      <c r="F25" s="2" t="s">
        <v>16</v>
      </c>
    </row>
  </sheetData>
  <mergeCells count="2">
    <mergeCell ref="B3:D3"/>
    <mergeCell ref="B20:D20"/>
  </mergeCells>
  <pageMargins left="0.7" right="0.7" top="0.75" bottom="0.75" header="0.3" footer="0.3"/>
  <pageSetup paperSize="9" orientation="portrait" r:id="rId1"/>
  <ignoredErrors>
    <ignoredError sqref="C17 C22 C24:C25 C5 C9 C11 C19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625E-5B1C-45FE-BF92-35227FC4D392}">
  <dimension ref="B3:E16"/>
  <sheetViews>
    <sheetView tabSelected="1" zoomScale="130" zoomScaleNormal="130" workbookViewId="0">
      <selection activeCell="E17" sqref="E17"/>
    </sheetView>
  </sheetViews>
  <sheetFormatPr baseColWidth="10" defaultRowHeight="14.4" x14ac:dyDescent="0.3"/>
  <cols>
    <col min="1" max="1" width="11.5546875" style="14"/>
    <col min="2" max="2" width="25" style="14" customWidth="1"/>
    <col min="3" max="3" width="16.88671875" style="14" customWidth="1"/>
    <col min="4" max="4" width="20" style="14" customWidth="1"/>
    <col min="5" max="5" width="18.6640625" style="14" customWidth="1"/>
    <col min="6" max="16384" width="11.5546875" style="14"/>
  </cols>
  <sheetData>
    <row r="3" spans="2:5" ht="34.799999999999997" customHeight="1" x14ac:dyDescent="0.3">
      <c r="B3" s="16" t="s">
        <v>53</v>
      </c>
      <c r="C3" s="16" t="s">
        <v>56</v>
      </c>
      <c r="D3" s="16" t="s">
        <v>57</v>
      </c>
      <c r="E3" s="16" t="s">
        <v>58</v>
      </c>
    </row>
    <row r="4" spans="2:5" ht="28.8" x14ac:dyDescent="0.3">
      <c r="B4" s="15" t="s">
        <v>54</v>
      </c>
      <c r="C4" s="17">
        <v>171.56</v>
      </c>
      <c r="D4" s="18">
        <v>7</v>
      </c>
      <c r="E4" s="18">
        <f>C4*D4</f>
        <v>1200.92</v>
      </c>
    </row>
    <row r="5" spans="2:5" ht="26.4" customHeight="1" x14ac:dyDescent="0.3">
      <c r="B5" s="15" t="s">
        <v>55</v>
      </c>
      <c r="C5" s="17">
        <v>0</v>
      </c>
      <c r="D5" s="17">
        <v>0</v>
      </c>
      <c r="E5" s="18">
        <f>C5*D5</f>
        <v>0</v>
      </c>
    </row>
    <row r="6" spans="2:5" ht="25.8" customHeight="1" x14ac:dyDescent="0.3">
      <c r="E6" s="19">
        <f>E4+E5</f>
        <v>1200.92</v>
      </c>
    </row>
    <row r="10" spans="2:5" ht="15" thickBot="1" x14ac:dyDescent="0.35"/>
    <row r="11" spans="2:5" x14ac:dyDescent="0.3">
      <c r="B11" s="36" t="s">
        <v>59</v>
      </c>
      <c r="C11" s="26" t="s">
        <v>60</v>
      </c>
      <c r="D11" s="26" t="s">
        <v>61</v>
      </c>
      <c r="E11" s="26" t="s">
        <v>62</v>
      </c>
    </row>
    <row r="12" spans="2:5" ht="15" thickBot="1" x14ac:dyDescent="0.35">
      <c r="B12" s="37"/>
      <c r="C12" s="27">
        <v>-1</v>
      </c>
      <c r="D12" s="27">
        <v>-2</v>
      </c>
      <c r="E12" s="27" t="s">
        <v>63</v>
      </c>
    </row>
    <row r="13" spans="2:5" ht="29.4" thickBot="1" x14ac:dyDescent="0.35">
      <c r="B13" s="28" t="s">
        <v>64</v>
      </c>
      <c r="C13" s="29">
        <v>230</v>
      </c>
      <c r="D13" s="29">
        <v>0.25</v>
      </c>
      <c r="E13" s="30">
        <v>57.5</v>
      </c>
    </row>
    <row r="14" spans="2:5" ht="15" thickBot="1" x14ac:dyDescent="0.35">
      <c r="B14" s="28" t="s">
        <v>65</v>
      </c>
      <c r="C14" s="31"/>
      <c r="D14" s="29">
        <v>0</v>
      </c>
      <c r="E14" s="30">
        <v>4.5999999999999996</v>
      </c>
    </row>
    <row r="15" spans="2:5" ht="15" thickBot="1" x14ac:dyDescent="0.35">
      <c r="B15" s="32" t="s">
        <v>66</v>
      </c>
      <c r="C15" s="29">
        <v>0</v>
      </c>
      <c r="D15" s="29">
        <v>0</v>
      </c>
      <c r="E15" s="30">
        <v>0</v>
      </c>
    </row>
    <row r="16" spans="2:5" ht="15" thickBot="1" x14ac:dyDescent="0.35">
      <c r="B16" s="33"/>
      <c r="C16" s="34"/>
      <c r="D16" s="34"/>
      <c r="E16" s="35">
        <f>E13+E14</f>
        <v>62.1</v>
      </c>
    </row>
  </sheetData>
  <mergeCells count="1">
    <mergeCell ref="B11:B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Estimación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Solay Fotovoltaica</cp:lastModifiedBy>
  <dcterms:created xsi:type="dcterms:W3CDTF">2021-12-25T17:25:35Z</dcterms:created>
  <dcterms:modified xsi:type="dcterms:W3CDTF">2024-12-19T12:04:14Z</dcterms:modified>
</cp:coreProperties>
</file>