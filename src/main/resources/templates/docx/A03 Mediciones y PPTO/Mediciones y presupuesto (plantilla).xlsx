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ay Fotovoltaica\Desktop\prodolegpacFV - Insecteat, S.L\2.- Proyecto\A03 Mediciones y PPTO\"/>
    </mc:Choice>
  </mc:AlternateContent>
  <xr:revisionPtr revIDLastSave="0" documentId="13_ncr:1_{471E88D3-8E44-42E3-AA14-928415A0F3C0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Datos de partida" sheetId="3" r:id="rId1"/>
    <sheet name="Desglosado" sheetId="1" r:id="rId2"/>
    <sheet name="General" sheetId="2" r:id="rId3"/>
  </sheets>
  <definedNames>
    <definedName name="cuadro_ca">'Datos de partida'!$D$16</definedName>
    <definedName name="cuadro_ca_precio">'Datos de partida'!$D$17</definedName>
    <definedName name="cuadro_cc">'Datos de partida'!$D$14</definedName>
    <definedName name="cuadro_cc_precio">'Datos de partida'!$D$15</definedName>
    <definedName name="des_modulos">'Datos de partida'!$D$6</definedName>
    <definedName name="dif">'Datos de partida'!$D$20</definedName>
    <definedName name="dif_precio">'Datos de partida'!$D$21</definedName>
    <definedName name="estructura">'Datos de partida'!$D$9</definedName>
    <definedName name="importe">'Datos de partida'!$D$4</definedName>
    <definedName name="inversor">'Datos de partida'!$D$7</definedName>
    <definedName name="Inversor__precio">'Datos de partida'!$D$8</definedName>
    <definedName name="inversor_precio">'Datos de partida'!$D$8</definedName>
    <definedName name="m_cablesolar">'Datos de partida'!$D$29</definedName>
    <definedName name="m_tuboh">'Datos de partida'!$D$28</definedName>
    <definedName name="meter">'Datos de partida'!$D$13</definedName>
    <definedName name="mo_cab">'Datos de partida'!$D$33</definedName>
    <definedName name="mo_mon">'Datos de partida'!$D$32</definedName>
    <definedName name="mo_prog">'Datos de partida'!$D$35</definedName>
    <definedName name="mo_prot">'Datos de partida'!$D$34</definedName>
    <definedName name="mo_vf">'Datos de partida'!$D$36</definedName>
    <definedName name="n_mc4">'Datos de partida'!$D$30</definedName>
    <definedName name="nmodulos">'Datos de partida'!$D$5</definedName>
    <definedName name="pia">'Datos de partida'!$D$18</definedName>
    <definedName name="pia_precio">'Datos de partida'!$D$19</definedName>
    <definedName name="sec_ca">'Datos de partida'!$D$11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3" l="1"/>
  <c r="C18" i="2"/>
  <c r="C6" i="2"/>
  <c r="C5" i="2"/>
  <c r="C8" i="2" s="1"/>
  <c r="C10" i="2" s="1"/>
  <c r="E18" i="2"/>
  <c r="D33" i="3"/>
  <c r="E11" i="1"/>
  <c r="E18" i="1"/>
  <c r="C18" i="1"/>
  <c r="E15" i="1"/>
  <c r="E14" i="1"/>
  <c r="C15" i="1"/>
  <c r="C14" i="1"/>
  <c r="C19" i="1"/>
  <c r="C4" i="1"/>
  <c r="C5" i="1"/>
  <c r="D34" i="3"/>
  <c r="D32" i="3"/>
  <c r="D29" i="3"/>
  <c r="D8" i="1" s="1"/>
  <c r="D28" i="3"/>
  <c r="D6" i="1" s="1"/>
  <c r="C12" i="1"/>
  <c r="C11" i="1"/>
  <c r="C12" i="2" l="1"/>
  <c r="D36" i="1"/>
  <c r="D7" i="1"/>
  <c r="D5" i="1" l="1"/>
  <c r="D4" i="1"/>
  <c r="F29" i="1"/>
  <c r="F28" i="1"/>
  <c r="F13" i="1"/>
  <c r="F27" i="1" l="1"/>
  <c r="F7" i="1"/>
  <c r="F8" i="1"/>
  <c r="F11" i="1"/>
  <c r="F5" i="1"/>
  <c r="F10" i="1"/>
  <c r="F9" i="1"/>
  <c r="F14" i="1"/>
  <c r="F16" i="1"/>
  <c r="F6" i="1" l="1"/>
  <c r="F19" i="1"/>
  <c r="F4" i="1"/>
  <c r="F20" i="1"/>
  <c r="F15" i="1"/>
  <c r="F12" i="1"/>
  <c r="F26" i="1"/>
  <c r="F24" i="1"/>
  <c r="F23" i="1"/>
  <c r="F17" i="1"/>
  <c r="F25" i="1"/>
  <c r="F18" i="1"/>
  <c r="F3" i="1" l="1"/>
  <c r="D37" i="1" s="1"/>
  <c r="D38" i="1" s="1"/>
  <c r="F22" i="1" s="1"/>
  <c r="F21" i="1" s="1"/>
  <c r="F31" i="1" s="1"/>
  <c r="D22" i="1" l="1"/>
</calcChain>
</file>

<file path=xl/sharedStrings.xml><?xml version="1.0" encoding="utf-8"?>
<sst xmlns="http://schemas.openxmlformats.org/spreadsheetml/2006/main" count="147" uniqueCount="104">
  <si>
    <t>Partidas</t>
  </si>
  <si>
    <t>Precios unitarios</t>
  </si>
  <si>
    <t>Precios totales</t>
  </si>
  <si>
    <t>Ud</t>
  </si>
  <si>
    <t>Medición</t>
  </si>
  <si>
    <t>MC4 Conector macho PV-KST4/6II-UR</t>
  </si>
  <si>
    <t>MC4 Conector hembra PV-KBT4/6II-UR</t>
  </si>
  <si>
    <t>Mano de obra para la colocación de la caja y las protecciones eléctricas</t>
  </si>
  <si>
    <t>Mano de obra para el montaje de la estructura coplanar de aluminio y de los módulos fotovoltaicos</t>
  </si>
  <si>
    <t>Mano de obra para la colocación y conexionado del cableado</t>
  </si>
  <si>
    <t>Mano de obra para la colocación y programación del inversor</t>
  </si>
  <si>
    <t>Mano de obra para la verificación final</t>
  </si>
  <si>
    <t>Cable de datos FTP CAT6 de 50m</t>
  </si>
  <si>
    <t>Tubo H rígido 20 mm en barras de 3 m con parte proporcional de fijaciones</t>
  </si>
  <si>
    <t>Dispositivo de protección contra sobretensiones SPD DC 1000V, 40KA de baja tensión, de 2P</t>
  </si>
  <si>
    <t>ud</t>
  </si>
  <si>
    <t>ml</t>
  </si>
  <si>
    <t>h</t>
  </si>
  <si>
    <t>Presupuesto de Ejecución Material – P.E.M.:</t>
  </si>
  <si>
    <t>21% de IVA sobre el P.E.C.:</t>
  </si>
  <si>
    <t>Presupuesto Total (IVA incluido):</t>
  </si>
  <si>
    <t>Concepto</t>
  </si>
  <si>
    <t>Cantidad (€)</t>
  </si>
  <si>
    <r>
      <t>Cable solar de C.C. de color negro libre de halógenos) de 6 mm</t>
    </r>
    <r>
      <rPr>
        <vertAlign val="superscript"/>
        <sz val="9"/>
        <color rgb="FF000000"/>
        <rFont val="Calibri Light"/>
        <family val="2"/>
        <scheme val="major"/>
      </rPr>
      <t>2</t>
    </r>
  </si>
  <si>
    <r>
      <t>Cable solar de C.C. de color rojo libre de halógenos) de 6 mm</t>
    </r>
    <r>
      <rPr>
        <vertAlign val="superscript"/>
        <sz val="9"/>
        <color rgb="FF000000"/>
        <rFont val="Calibri Light"/>
        <family val="2"/>
        <scheme val="major"/>
      </rPr>
      <t>2</t>
    </r>
  </si>
  <si>
    <t>Equipos y Materiales</t>
  </si>
  <si>
    <t>Mano de obra</t>
  </si>
  <si>
    <t>Otros</t>
  </si>
  <si>
    <t>Legalización ante industria</t>
  </si>
  <si>
    <t>Terminal de presión de cobre sofamel 6 mm</t>
  </si>
  <si>
    <t xml:space="preserve">Base portafusibles con fusible de 16A 1000 V de 10x38 mm </t>
  </si>
  <si>
    <t>Número de módulos</t>
  </si>
  <si>
    <t>Descripción</t>
  </si>
  <si>
    <t>Valor</t>
  </si>
  <si>
    <t>Variable</t>
  </si>
  <si>
    <t>nmodulos</t>
  </si>
  <si>
    <t>importe</t>
  </si>
  <si>
    <t>inversor</t>
  </si>
  <si>
    <t>Inversor</t>
  </si>
  <si>
    <t>Sección de Salida de Alterna</t>
  </si>
  <si>
    <t>sec_ca</t>
  </si>
  <si>
    <t>Tubo H rígido</t>
  </si>
  <si>
    <t>m_tuboh</t>
  </si>
  <si>
    <t>Cable Solar 6 mm2</t>
  </si>
  <si>
    <t>m_cablesolar</t>
  </si>
  <si>
    <t>Variables a introducir</t>
  </si>
  <si>
    <t>Variables automáticas</t>
  </si>
  <si>
    <t>Conectores MC4</t>
  </si>
  <si>
    <t>mc4</t>
  </si>
  <si>
    <t>Mano de Obra Montaje Estructura y Módulos</t>
  </si>
  <si>
    <t>Mano de Obra Cableado</t>
  </si>
  <si>
    <t>Mano de obra Protecciones</t>
  </si>
  <si>
    <t>Mano de obra Programación</t>
  </si>
  <si>
    <t>mo_mon</t>
  </si>
  <si>
    <t>mo_cab</t>
  </si>
  <si>
    <t>mo_prot</t>
  </si>
  <si>
    <t>€</t>
  </si>
  <si>
    <t>Mano de obra Verificación final</t>
  </si>
  <si>
    <t>mo_prog</t>
  </si>
  <si>
    <t>mo_vf</t>
  </si>
  <si>
    <t>-</t>
  </si>
  <si>
    <t>Fabricante y modelo de módulos</t>
  </si>
  <si>
    <t>des_modulos</t>
  </si>
  <si>
    <t>Estructura</t>
  </si>
  <si>
    <t>estructura</t>
  </si>
  <si>
    <t>Importe Objetivo</t>
  </si>
  <si>
    <t>Importe Actual</t>
  </si>
  <si>
    <t>Mano de Obra</t>
  </si>
  <si>
    <t>Medidor de Energía</t>
  </si>
  <si>
    <t>meter</t>
  </si>
  <si>
    <t>Cuadro de Contínua</t>
  </si>
  <si>
    <t>Cuadro de Contínua (precio)</t>
  </si>
  <si>
    <t>cuadro_cc</t>
  </si>
  <si>
    <t>cuadro_ca</t>
  </si>
  <si>
    <t>Cuadro de Alterna</t>
  </si>
  <si>
    <t>Cuadro de Alterna (precio)</t>
  </si>
  <si>
    <t>cuadro_cc_precio</t>
  </si>
  <si>
    <t>cuadro_ca_precio</t>
  </si>
  <si>
    <t>Interruptor Magnetotérmico</t>
  </si>
  <si>
    <t>pia</t>
  </si>
  <si>
    <t>dif</t>
  </si>
  <si>
    <t>Interruptor Magnetotérmico (precio)</t>
  </si>
  <si>
    <t>pia_precio</t>
  </si>
  <si>
    <t>Interruptor Diferencial</t>
  </si>
  <si>
    <t>dif_precio</t>
  </si>
  <si>
    <t>margen</t>
  </si>
  <si>
    <t>Inversor (precio)</t>
  </si>
  <si>
    <t>inversor_precio</t>
  </si>
  <si>
    <t>Proyecto Técnico y dirección de Obra</t>
  </si>
  <si>
    <t>Interruptor Diferencial (precio)</t>
  </si>
  <si>
    <t>Cuadro de protecciones eléctricas de corriente alterna de 18 elementos</t>
  </si>
  <si>
    <t>Beneficio industrial (6%)</t>
  </si>
  <si>
    <t>Gastos generales (13%)</t>
  </si>
  <si>
    <t>Importe de Obra (Sin IVA)</t>
  </si>
  <si>
    <t>Huawei DTSU666-H</t>
  </si>
  <si>
    <t>Interruptor automático diferencial 4P 50A 300mA clase A</t>
  </si>
  <si>
    <t>Presupuesto de Ejecución Contrata - P.E.C.:</t>
  </si>
  <si>
    <t>Huawei SUN2000-20KTL-M3</t>
  </si>
  <si>
    <t xml:space="preserve">Estructura de aluminio para el soporte de módulos fotovoltaicos </t>
  </si>
  <si>
    <t>10 mm2</t>
  </si>
  <si>
    <t>Interruptor automático magnetotérmico 4P 40A Curva C</t>
  </si>
  <si>
    <t>Cuadro de protecciones eléctricas de corriente continua de 12 elementos</t>
  </si>
  <si>
    <t>LONGI LR5-72HPH-540M</t>
  </si>
  <si>
    <t>Total PEM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</si>
</sst>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15" x14ac:knownFonts="1">
    <font>
      <sz val="11"/>
      <color theme="1"/>
      <name val="Calibri"/>
      <family val="2"/>
      <scheme val="minor"/>
    </font>
    <font>
      <sz val="8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sz val="9"/>
      <color rgb="FF000000"/>
      <name val="Calibri Light"/>
      <family val="2"/>
      <scheme val="major"/>
    </font>
    <font>
      <sz val="9"/>
      <color rgb="FF000000"/>
      <name val="Calibri Light"/>
      <family val="2"/>
      <scheme val="major"/>
    </font>
    <font>
      <vertAlign val="superscript"/>
      <sz val="9"/>
      <color rgb="FF000000"/>
      <name val="Calibri Light"/>
      <family val="2"/>
      <scheme val="major"/>
    </font>
    <font>
      <sz val="9"/>
      <name val="Calibri Light"/>
      <family val="2"/>
      <scheme val="major"/>
    </font>
    <font>
      <b/>
      <sz val="11"/>
      <color rgb="FF000000"/>
      <name val="Calibri"/>
      <family val="2"/>
      <scheme val="minor"/>
    </font>
    <font>
      <b/>
      <sz val="9"/>
      <color theme="1"/>
      <name val="Calibri Light"/>
      <family val="2"/>
      <scheme val="maj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b/>
      <sz val="11"/>
      <color rgb="FFFFC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right" vertical="center"/>
    </xf>
    <xf numFmtId="8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8" fontId="4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8" fontId="2" fillId="0" borderId="0" xfId="0" applyNumberFormat="1" applyFont="1" applyAlignment="1">
      <alignment horizontal="right" vertical="center"/>
    </xf>
    <xf numFmtId="0" fontId="7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8" fontId="7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left" vertical="center"/>
    </xf>
    <xf numFmtId="8" fontId="2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164" fontId="9" fillId="0" borderId="0" xfId="0" applyNumberFormat="1" applyFont="1" applyAlignment="1">
      <alignment horizontal="left" vertical="center"/>
    </xf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8" fontId="7" fillId="4" borderId="0" xfId="0" applyNumberFormat="1" applyFont="1" applyFill="1" applyAlignment="1">
      <alignment horizontal="right" vertical="center" wrapText="1"/>
    </xf>
    <xf numFmtId="0" fontId="12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164" fontId="12" fillId="4" borderId="0" xfId="0" applyNumberFormat="1" applyFont="1" applyFill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2" fillId="4" borderId="0" xfId="0" applyFont="1" applyFill="1" applyAlignment="1">
      <alignment horizontal="left" vertical="center" wrapText="1"/>
    </xf>
    <xf numFmtId="49" fontId="12" fillId="4" borderId="0" xfId="0" applyNumberFormat="1" applyFont="1" applyFill="1" applyAlignment="1">
      <alignment horizontal="left" vertical="center" wrapText="1"/>
    </xf>
    <xf numFmtId="1" fontId="4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8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2D9FE-8330-46B3-BFB5-405D22D14DAD}">
  <dimension ref="B1:E36"/>
  <sheetViews>
    <sheetView showGridLines="0" zoomScale="130" zoomScaleNormal="130" workbookViewId="0">
      <selection activeCell="D5" sqref="D5"/>
    </sheetView>
  </sheetViews>
  <sheetFormatPr baseColWidth="10" defaultRowHeight="14.4" x14ac:dyDescent="0.3"/>
  <cols>
    <col min="1" max="1" width="4.88671875" style="24" customWidth="1"/>
    <col min="2" max="2" width="6.6640625" style="24" customWidth="1"/>
    <col min="3" max="3" width="41.77734375" style="24" customWidth="1"/>
    <col min="4" max="4" width="72.88671875" style="24" customWidth="1"/>
    <col min="5" max="5" width="18.5546875" style="24" customWidth="1"/>
    <col min="6" max="16384" width="11.5546875" style="24"/>
  </cols>
  <sheetData>
    <row r="1" spans="2:5" x14ac:dyDescent="0.3">
      <c r="C1" s="25" t="s">
        <v>45</v>
      </c>
    </row>
    <row r="3" spans="2:5" x14ac:dyDescent="0.3">
      <c r="C3" s="26" t="s">
        <v>32</v>
      </c>
      <c r="D3" s="26" t="s">
        <v>33</v>
      </c>
      <c r="E3" s="26" t="s">
        <v>34</v>
      </c>
    </row>
    <row r="4" spans="2:5" ht="16.2" customHeight="1" x14ac:dyDescent="0.3">
      <c r="B4" s="24" t="s">
        <v>56</v>
      </c>
      <c r="C4" s="24" t="s">
        <v>93</v>
      </c>
      <c r="D4" s="27">
        <f>General!C3</f>
        <v>11806.375</v>
      </c>
      <c r="E4" s="28" t="s">
        <v>36</v>
      </c>
    </row>
    <row r="5" spans="2:5" ht="18" customHeight="1" x14ac:dyDescent="0.3">
      <c r="B5" s="24" t="s">
        <v>15</v>
      </c>
      <c r="C5" s="24" t="s">
        <v>31</v>
      </c>
      <c r="D5" s="29">
        <v>37</v>
      </c>
      <c r="E5" s="28" t="s">
        <v>35</v>
      </c>
    </row>
    <row r="6" spans="2:5" ht="18" customHeight="1" x14ac:dyDescent="0.3">
      <c r="B6" s="24" t="s">
        <v>60</v>
      </c>
      <c r="C6" s="24" t="s">
        <v>61</v>
      </c>
      <c r="D6" s="29" t="s">
        <v>102</v>
      </c>
      <c r="E6" s="28" t="s">
        <v>62</v>
      </c>
    </row>
    <row r="7" spans="2:5" x14ac:dyDescent="0.3">
      <c r="B7" s="24" t="s">
        <v>15</v>
      </c>
      <c r="C7" s="24" t="s">
        <v>38</v>
      </c>
      <c r="D7" s="30" t="s">
        <v>97</v>
      </c>
      <c r="E7" s="28" t="s">
        <v>37</v>
      </c>
    </row>
    <row r="8" spans="2:5" x14ac:dyDescent="0.3">
      <c r="B8" s="24" t="s">
        <v>56</v>
      </c>
      <c r="C8" s="24" t="s">
        <v>86</v>
      </c>
      <c r="D8" s="27">
        <v>1697.79</v>
      </c>
      <c r="E8" s="28" t="s">
        <v>87</v>
      </c>
    </row>
    <row r="9" spans="2:5" x14ac:dyDescent="0.3">
      <c r="B9" s="24" t="s">
        <v>60</v>
      </c>
      <c r="C9" s="24" t="s">
        <v>63</v>
      </c>
      <c r="D9" s="30" t="s">
        <v>98</v>
      </c>
      <c r="E9" s="28" t="s">
        <v>64</v>
      </c>
    </row>
    <row r="10" spans="2:5" x14ac:dyDescent="0.3">
      <c r="D10" s="30"/>
      <c r="E10" s="28"/>
    </row>
    <row r="11" spans="2:5" x14ac:dyDescent="0.3">
      <c r="B11" s="24" t="s">
        <v>60</v>
      </c>
      <c r="C11" s="24" t="s">
        <v>39</v>
      </c>
      <c r="D11" s="30" t="s">
        <v>99</v>
      </c>
      <c r="E11" s="28" t="s">
        <v>40</v>
      </c>
    </row>
    <row r="12" spans="2:5" x14ac:dyDescent="0.3">
      <c r="D12" s="30"/>
      <c r="E12" s="28"/>
    </row>
    <row r="13" spans="2:5" x14ac:dyDescent="0.3">
      <c r="B13" s="24" t="s">
        <v>60</v>
      </c>
      <c r="C13" s="24" t="s">
        <v>68</v>
      </c>
      <c r="D13" s="30" t="s">
        <v>94</v>
      </c>
      <c r="E13" s="28" t="s">
        <v>69</v>
      </c>
    </row>
    <row r="14" spans="2:5" x14ac:dyDescent="0.3">
      <c r="B14" s="24" t="s">
        <v>15</v>
      </c>
      <c r="C14" s="24" t="s">
        <v>70</v>
      </c>
      <c r="D14" s="30" t="s">
        <v>101</v>
      </c>
      <c r="E14" s="28" t="s">
        <v>72</v>
      </c>
    </row>
    <row r="15" spans="2:5" x14ac:dyDescent="0.3">
      <c r="B15" s="24" t="s">
        <v>56</v>
      </c>
      <c r="C15" s="24" t="s">
        <v>71</v>
      </c>
      <c r="D15" s="27">
        <v>650</v>
      </c>
      <c r="E15" s="28" t="s">
        <v>76</v>
      </c>
    </row>
    <row r="16" spans="2:5" x14ac:dyDescent="0.3">
      <c r="B16" s="24" t="s">
        <v>15</v>
      </c>
      <c r="C16" s="24" t="s">
        <v>74</v>
      </c>
      <c r="D16" s="30" t="s">
        <v>90</v>
      </c>
      <c r="E16" s="28" t="s">
        <v>73</v>
      </c>
    </row>
    <row r="17" spans="2:5" x14ac:dyDescent="0.3">
      <c r="B17" s="24" t="s">
        <v>56</v>
      </c>
      <c r="C17" s="24" t="s">
        <v>75</v>
      </c>
      <c r="D17" s="27">
        <v>870</v>
      </c>
      <c r="E17" s="28" t="s">
        <v>77</v>
      </c>
    </row>
    <row r="18" spans="2:5" x14ac:dyDescent="0.3">
      <c r="B18" s="24" t="s">
        <v>15</v>
      </c>
      <c r="C18" s="24" t="s">
        <v>78</v>
      </c>
      <c r="D18" s="30" t="s">
        <v>100</v>
      </c>
      <c r="E18" s="28" t="s">
        <v>79</v>
      </c>
    </row>
    <row r="19" spans="2:5" x14ac:dyDescent="0.3">
      <c r="B19" s="24" t="s">
        <v>56</v>
      </c>
      <c r="C19" s="24" t="s">
        <v>81</v>
      </c>
      <c r="D19" s="27">
        <v>103</v>
      </c>
      <c r="E19" s="28" t="s">
        <v>82</v>
      </c>
    </row>
    <row r="20" spans="2:5" x14ac:dyDescent="0.3">
      <c r="B20" s="24" t="s">
        <v>15</v>
      </c>
      <c r="C20" s="24" t="s">
        <v>83</v>
      </c>
      <c r="D20" s="30" t="s">
        <v>95</v>
      </c>
      <c r="E20" s="28" t="s">
        <v>80</v>
      </c>
    </row>
    <row r="21" spans="2:5" x14ac:dyDescent="0.3">
      <c r="B21" s="24" t="s">
        <v>56</v>
      </c>
      <c r="C21" s="24" t="s">
        <v>89</v>
      </c>
      <c r="D21" s="27">
        <v>95.12</v>
      </c>
      <c r="E21" s="28" t="s">
        <v>84</v>
      </c>
    </row>
    <row r="22" spans="2:5" x14ac:dyDescent="0.3">
      <c r="D22" s="27"/>
      <c r="E22" s="28"/>
    </row>
    <row r="23" spans="2:5" x14ac:dyDescent="0.3">
      <c r="D23" s="27"/>
      <c r="E23" s="28"/>
    </row>
    <row r="25" spans="2:5" x14ac:dyDescent="0.3">
      <c r="C25" s="25" t="s">
        <v>46</v>
      </c>
    </row>
    <row r="27" spans="2:5" x14ac:dyDescent="0.3">
      <c r="E27" s="28" t="s">
        <v>85</v>
      </c>
    </row>
    <row r="28" spans="2:5" x14ac:dyDescent="0.3">
      <c r="B28" s="24" t="s">
        <v>16</v>
      </c>
      <c r="C28" s="24" t="s">
        <v>41</v>
      </c>
      <c r="D28" s="29">
        <f>nmodulos/2</f>
        <v>18.5</v>
      </c>
      <c r="E28" s="28" t="s">
        <v>42</v>
      </c>
    </row>
    <row r="29" spans="2:5" x14ac:dyDescent="0.3">
      <c r="B29" s="24" t="s">
        <v>16</v>
      </c>
      <c r="C29" s="24" t="s">
        <v>43</v>
      </c>
      <c r="D29" s="29">
        <f>nmodulos*1.3</f>
        <v>48.1</v>
      </c>
      <c r="E29" s="28" t="s">
        <v>44</v>
      </c>
    </row>
    <row r="30" spans="2:5" x14ac:dyDescent="0.3">
      <c r="B30" s="24" t="s">
        <v>15</v>
      </c>
      <c r="C30" s="24" t="s">
        <v>47</v>
      </c>
      <c r="D30" s="29">
        <v>12</v>
      </c>
      <c r="E30" s="28" t="s">
        <v>48</v>
      </c>
    </row>
    <row r="31" spans="2:5" x14ac:dyDescent="0.3">
      <c r="D31" s="29"/>
      <c r="E31" s="28"/>
    </row>
    <row r="32" spans="2:5" x14ac:dyDescent="0.3">
      <c r="B32" s="24" t="s">
        <v>17</v>
      </c>
      <c r="C32" s="24" t="s">
        <v>49</v>
      </c>
      <c r="D32" s="29">
        <f>5*nmodulos</f>
        <v>185</v>
      </c>
      <c r="E32" s="28" t="s">
        <v>53</v>
      </c>
    </row>
    <row r="33" spans="2:5" x14ac:dyDescent="0.3">
      <c r="B33" s="24" t="s">
        <v>17</v>
      </c>
      <c r="C33" s="24" t="s">
        <v>50</v>
      </c>
      <c r="D33" s="29">
        <f>1*nmodulos</f>
        <v>37</v>
      </c>
      <c r="E33" s="28" t="s">
        <v>54</v>
      </c>
    </row>
    <row r="34" spans="2:5" x14ac:dyDescent="0.3">
      <c r="B34" s="24" t="s">
        <v>17</v>
      </c>
      <c r="C34" s="24" t="s">
        <v>51</v>
      </c>
      <c r="D34" s="29">
        <f>4</f>
        <v>4</v>
      </c>
      <c r="E34" s="28" t="s">
        <v>55</v>
      </c>
    </row>
    <row r="35" spans="2:5" x14ac:dyDescent="0.3">
      <c r="B35" s="24" t="s">
        <v>17</v>
      </c>
      <c r="C35" s="24" t="s">
        <v>52</v>
      </c>
      <c r="D35" s="29">
        <v>2</v>
      </c>
      <c r="E35" s="28" t="s">
        <v>58</v>
      </c>
    </row>
    <row r="36" spans="2:5" x14ac:dyDescent="0.3">
      <c r="B36" s="24" t="s">
        <v>17</v>
      </c>
      <c r="C36" s="24" t="s">
        <v>57</v>
      </c>
      <c r="D36" s="29">
        <v>2</v>
      </c>
      <c r="E36" s="28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8"/>
  <sheetViews>
    <sheetView tabSelected="1" zoomScale="115" zoomScaleNormal="115" workbookViewId="0">
      <selection activeCell="F31" sqref="B2:F31"/>
    </sheetView>
  </sheetViews>
  <sheetFormatPr baseColWidth="10" defaultColWidth="11.5546875" defaultRowHeight="12" x14ac:dyDescent="0.3"/>
  <cols>
    <col min="1" max="1" width="6.21875" style="3" customWidth="1"/>
    <col min="2" max="2" width="8.21875" style="3" customWidth="1"/>
    <col min="3" max="3" width="73.44140625" style="4" customWidth="1"/>
    <col min="4" max="4" width="12.44140625" style="5" customWidth="1"/>
    <col min="5" max="5" width="13.88671875" style="5" customWidth="1"/>
    <col min="6" max="6" width="15.33203125" style="5" customWidth="1"/>
    <col min="7" max="16384" width="11.5546875" style="3"/>
  </cols>
  <sheetData>
    <row r="1" spans="2:6" ht="18" customHeight="1" x14ac:dyDescent="0.3"/>
    <row r="2" spans="2:6" s="13" customFormat="1" ht="28.8" x14ac:dyDescent="0.3">
      <c r="B2" s="12" t="s">
        <v>3</v>
      </c>
      <c r="C2" s="12" t="s">
        <v>0</v>
      </c>
      <c r="D2" s="12" t="s">
        <v>4</v>
      </c>
      <c r="E2" s="12" t="s">
        <v>1</v>
      </c>
      <c r="F2" s="12" t="s">
        <v>2</v>
      </c>
    </row>
    <row r="3" spans="2:6" s="14" customFormat="1" ht="18.600000000000001" customHeight="1" x14ac:dyDescent="0.3">
      <c r="B3" s="21"/>
      <c r="C3" s="22" t="s">
        <v>25</v>
      </c>
      <c r="D3" s="21"/>
      <c r="E3" s="21"/>
      <c r="F3" s="23">
        <f>SUM(F4:F20)</f>
        <v>9061.2339999999986</v>
      </c>
    </row>
    <row r="4" spans="2:6" ht="19.2" customHeight="1" x14ac:dyDescent="0.3">
      <c r="B4" s="6" t="s">
        <v>15</v>
      </c>
      <c r="C4" s="7" t="str">
        <f>estructura</f>
        <v xml:space="preserve">Estructura de aluminio para el soporte de módulos fotovoltaicos </v>
      </c>
      <c r="D4" s="6">
        <f>nmodulos</f>
        <v>37</v>
      </c>
      <c r="E4" s="8">
        <v>31.2</v>
      </c>
      <c r="F4" s="8">
        <f>D4*E4</f>
        <v>1154.3999999999999</v>
      </c>
    </row>
    <row r="5" spans="2:6" x14ac:dyDescent="0.3">
      <c r="B5" s="6" t="s">
        <v>15</v>
      </c>
      <c r="C5" s="7" t="str">
        <f>"Módulo Fotovoltaico monocristalino "&amp;des_modulos</f>
        <v>Módulo Fotovoltaico monocristalino LONGI LR5-72HPH-540M</v>
      </c>
      <c r="D5" s="6">
        <f>nmodulos</f>
        <v>37</v>
      </c>
      <c r="E5" s="8">
        <v>87</v>
      </c>
      <c r="F5" s="8">
        <f t="shared" ref="F5:F18" si="0">D5*E5</f>
        <v>3219</v>
      </c>
    </row>
    <row r="6" spans="2:6" x14ac:dyDescent="0.3">
      <c r="B6" s="6" t="s">
        <v>15</v>
      </c>
      <c r="C6" s="7" t="s">
        <v>13</v>
      </c>
      <c r="D6" s="6">
        <f>m_tuboh</f>
        <v>18.5</v>
      </c>
      <c r="E6" s="8">
        <v>11.4</v>
      </c>
      <c r="F6" s="8">
        <f t="shared" si="0"/>
        <v>210.9</v>
      </c>
    </row>
    <row r="7" spans="2:6" ht="13.8" x14ac:dyDescent="0.3">
      <c r="B7" s="6" t="s">
        <v>16</v>
      </c>
      <c r="C7" s="7" t="s">
        <v>23</v>
      </c>
      <c r="D7" s="6">
        <f>m_cablesolar</f>
        <v>48.1</v>
      </c>
      <c r="E7" s="8">
        <v>1.1200000000000001</v>
      </c>
      <c r="F7" s="8">
        <f t="shared" si="0"/>
        <v>53.872000000000007</v>
      </c>
    </row>
    <row r="8" spans="2:6" ht="13.8" x14ac:dyDescent="0.3">
      <c r="B8" s="6" t="s">
        <v>16</v>
      </c>
      <c r="C8" s="7" t="s">
        <v>24</v>
      </c>
      <c r="D8" s="6">
        <f>m_cablesolar</f>
        <v>48.1</v>
      </c>
      <c r="E8" s="8">
        <v>1.1200000000000001</v>
      </c>
      <c r="F8" s="8">
        <f t="shared" si="0"/>
        <v>53.872000000000007</v>
      </c>
    </row>
    <row r="9" spans="2:6" x14ac:dyDescent="0.3">
      <c r="B9" s="6" t="s">
        <v>15</v>
      </c>
      <c r="C9" s="7" t="s">
        <v>5</v>
      </c>
      <c r="D9" s="6">
        <v>24</v>
      </c>
      <c r="E9" s="8">
        <v>1.1000000000000001</v>
      </c>
      <c r="F9" s="8">
        <f t="shared" si="0"/>
        <v>26.400000000000002</v>
      </c>
    </row>
    <row r="10" spans="2:6" x14ac:dyDescent="0.3">
      <c r="B10" s="6" t="s">
        <v>15</v>
      </c>
      <c r="C10" s="7" t="s">
        <v>6</v>
      </c>
      <c r="D10" s="6">
        <v>24</v>
      </c>
      <c r="E10" s="8">
        <v>1.1000000000000001</v>
      </c>
      <c r="F10" s="8">
        <f t="shared" si="0"/>
        <v>26.400000000000002</v>
      </c>
    </row>
    <row r="11" spans="2:6" x14ac:dyDescent="0.3">
      <c r="B11" s="6" t="s">
        <v>15</v>
      </c>
      <c r="C11" s="9" t="str">
        <f>"Inversor "&amp;inversor</f>
        <v>Inversor Huawei SUN2000-20KTL-M3</v>
      </c>
      <c r="D11" s="6">
        <v>1</v>
      </c>
      <c r="E11" s="8">
        <f>inversor_precio</f>
        <v>1697.79</v>
      </c>
      <c r="F11" s="8">
        <f t="shared" si="0"/>
        <v>1697.79</v>
      </c>
    </row>
    <row r="12" spans="2:6" x14ac:dyDescent="0.3">
      <c r="B12" s="6" t="s">
        <v>16</v>
      </c>
      <c r="C12" s="7" t="str">
        <f>"Cable unipolar flexible de potencia RZ1-K (AS), Libre de halógenos, cobre de "&amp;sec_ca</f>
        <v>Cable unipolar flexible de potencia RZ1-K (AS), Libre de halógenos, cobre de 10 mm2</v>
      </c>
      <c r="D12" s="6">
        <v>25</v>
      </c>
      <c r="E12" s="8">
        <v>16.71</v>
      </c>
      <c r="F12" s="8">
        <f t="shared" si="0"/>
        <v>417.75</v>
      </c>
    </row>
    <row r="13" spans="2:6" x14ac:dyDescent="0.3">
      <c r="B13" s="6" t="s">
        <v>15</v>
      </c>
      <c r="C13" s="7" t="s">
        <v>29</v>
      </c>
      <c r="D13" s="6">
        <v>3</v>
      </c>
      <c r="E13" s="8">
        <v>0.31</v>
      </c>
      <c r="F13" s="8">
        <f>D13*E13</f>
        <v>0.92999999999999994</v>
      </c>
    </row>
    <row r="14" spans="2:6" x14ac:dyDescent="0.3">
      <c r="B14" s="6" t="s">
        <v>15</v>
      </c>
      <c r="C14" s="7" t="str">
        <f>cuadro_cc</f>
        <v>Cuadro de protecciones eléctricas de corriente continua de 12 elementos</v>
      </c>
      <c r="D14" s="6">
        <v>1</v>
      </c>
      <c r="E14" s="8">
        <f>cuadro_cc_precio</f>
        <v>650</v>
      </c>
      <c r="F14" s="8">
        <f t="shared" si="0"/>
        <v>650</v>
      </c>
    </row>
    <row r="15" spans="2:6" x14ac:dyDescent="0.3">
      <c r="B15" s="6" t="s">
        <v>15</v>
      </c>
      <c r="C15" s="7" t="str">
        <f>cuadro_ca</f>
        <v>Cuadro de protecciones eléctricas de corriente alterna de 18 elementos</v>
      </c>
      <c r="D15" s="6">
        <v>1</v>
      </c>
      <c r="E15" s="8">
        <f>cuadro_ca_precio</f>
        <v>870</v>
      </c>
      <c r="F15" s="8">
        <f t="shared" si="0"/>
        <v>870</v>
      </c>
    </row>
    <row r="16" spans="2:6" x14ac:dyDescent="0.3">
      <c r="B16" s="6" t="s">
        <v>15</v>
      </c>
      <c r="C16" s="7" t="s">
        <v>30</v>
      </c>
      <c r="D16" s="6">
        <v>8</v>
      </c>
      <c r="E16" s="8">
        <v>1.74</v>
      </c>
      <c r="F16" s="8">
        <f t="shared" si="0"/>
        <v>13.92</v>
      </c>
    </row>
    <row r="17" spans="2:6" x14ac:dyDescent="0.3">
      <c r="B17" s="6" t="s">
        <v>15</v>
      </c>
      <c r="C17" s="7" t="s">
        <v>14</v>
      </c>
      <c r="D17" s="6">
        <v>6</v>
      </c>
      <c r="E17" s="8">
        <v>43</v>
      </c>
      <c r="F17" s="8">
        <f t="shared" si="0"/>
        <v>258</v>
      </c>
    </row>
    <row r="18" spans="2:6" x14ac:dyDescent="0.3">
      <c r="B18" s="6" t="s">
        <v>15</v>
      </c>
      <c r="C18" s="9" t="str">
        <f>pia</f>
        <v>Interruptor automático magnetotérmico 4P 40A Curva C</v>
      </c>
      <c r="D18" s="6">
        <v>1</v>
      </c>
      <c r="E18" s="8">
        <f>pia_precio</f>
        <v>103</v>
      </c>
      <c r="F18" s="8">
        <f t="shared" si="0"/>
        <v>103</v>
      </c>
    </row>
    <row r="19" spans="2:6" x14ac:dyDescent="0.3">
      <c r="B19" s="6" t="s">
        <v>15</v>
      </c>
      <c r="C19" s="9" t="str">
        <f>"Medidor de energía "&amp;meter</f>
        <v>Medidor de energía Huawei DTSU666-H</v>
      </c>
      <c r="D19" s="6">
        <v>1</v>
      </c>
      <c r="E19" s="8">
        <v>230</v>
      </c>
      <c r="F19" s="8">
        <f t="shared" ref="F19:F29" si="1">D19*E19</f>
        <v>230</v>
      </c>
    </row>
    <row r="20" spans="2:6" x14ac:dyDescent="0.3">
      <c r="B20" s="6" t="s">
        <v>16</v>
      </c>
      <c r="C20" s="7" t="s">
        <v>12</v>
      </c>
      <c r="D20" s="6">
        <v>50</v>
      </c>
      <c r="E20" s="8">
        <v>1.5</v>
      </c>
      <c r="F20" s="8">
        <f t="shared" si="1"/>
        <v>75</v>
      </c>
    </row>
    <row r="21" spans="2:6" s="14" customFormat="1" ht="14.4" x14ac:dyDescent="0.3">
      <c r="B21" s="21"/>
      <c r="C21" s="22" t="s">
        <v>26</v>
      </c>
      <c r="D21" s="21"/>
      <c r="E21" s="21"/>
      <c r="F21" s="23">
        <f>SUM(F22:F26)</f>
        <v>1539.0610000000015</v>
      </c>
    </row>
    <row r="22" spans="2:6" x14ac:dyDescent="0.3">
      <c r="B22" s="6" t="s">
        <v>17</v>
      </c>
      <c r="C22" s="7" t="s">
        <v>8</v>
      </c>
      <c r="D22" s="31">
        <f>F22/E22</f>
        <v>15.78122000000003</v>
      </c>
      <c r="E22" s="8">
        <v>50</v>
      </c>
      <c r="F22" s="8">
        <f>D38</f>
        <v>789.06100000000151</v>
      </c>
    </row>
    <row r="23" spans="2:6" x14ac:dyDescent="0.3">
      <c r="B23" s="6" t="s">
        <v>17</v>
      </c>
      <c r="C23" s="7" t="s">
        <v>9</v>
      </c>
      <c r="D23" s="6">
        <v>10</v>
      </c>
      <c r="E23" s="8">
        <v>50</v>
      </c>
      <c r="F23" s="8">
        <f t="shared" si="1"/>
        <v>500</v>
      </c>
    </row>
    <row r="24" spans="2:6" x14ac:dyDescent="0.3">
      <c r="B24" s="6" t="s">
        <v>17</v>
      </c>
      <c r="C24" s="7" t="s">
        <v>7</v>
      </c>
      <c r="D24" s="6">
        <v>3</v>
      </c>
      <c r="E24" s="8">
        <v>50</v>
      </c>
      <c r="F24" s="8">
        <f t="shared" si="1"/>
        <v>150</v>
      </c>
    </row>
    <row r="25" spans="2:6" x14ac:dyDescent="0.3">
      <c r="B25" s="6" t="s">
        <v>17</v>
      </c>
      <c r="C25" s="7" t="s">
        <v>10</v>
      </c>
      <c r="D25" s="6">
        <v>1</v>
      </c>
      <c r="E25" s="8">
        <v>50</v>
      </c>
      <c r="F25" s="8">
        <f t="shared" si="1"/>
        <v>50</v>
      </c>
    </row>
    <row r="26" spans="2:6" x14ac:dyDescent="0.3">
      <c r="B26" s="6" t="s">
        <v>17</v>
      </c>
      <c r="C26" s="7" t="s">
        <v>11</v>
      </c>
      <c r="D26" s="6">
        <v>1</v>
      </c>
      <c r="E26" s="8">
        <v>50</v>
      </c>
      <c r="F26" s="8">
        <f t="shared" si="1"/>
        <v>50</v>
      </c>
    </row>
    <row r="27" spans="2:6" s="14" customFormat="1" ht="14.4" x14ac:dyDescent="0.3">
      <c r="B27" s="21"/>
      <c r="C27" s="22" t="s">
        <v>27</v>
      </c>
      <c r="D27" s="21"/>
      <c r="E27" s="21"/>
      <c r="F27" s="23">
        <f>SUM(F28:F29)</f>
        <v>1206.08</v>
      </c>
    </row>
    <row r="28" spans="2:6" x14ac:dyDescent="0.3">
      <c r="B28" s="6" t="s">
        <v>15</v>
      </c>
      <c r="C28" s="7" t="s">
        <v>88</v>
      </c>
      <c r="D28" s="6">
        <v>1</v>
      </c>
      <c r="E28" s="8">
        <v>750</v>
      </c>
      <c r="F28" s="8">
        <f t="shared" si="1"/>
        <v>750</v>
      </c>
    </row>
    <row r="29" spans="2:6" x14ac:dyDescent="0.3">
      <c r="B29" s="6" t="s">
        <v>15</v>
      </c>
      <c r="C29" s="7" t="s">
        <v>28</v>
      </c>
      <c r="D29" s="6">
        <v>1</v>
      </c>
      <c r="E29" s="8">
        <v>456.08</v>
      </c>
      <c r="F29" s="8">
        <f t="shared" si="1"/>
        <v>456.08</v>
      </c>
    </row>
    <row r="30" spans="2:6" x14ac:dyDescent="0.3">
      <c r="B30" s="6"/>
      <c r="C30" s="7"/>
      <c r="D30" s="6"/>
      <c r="E30" s="8"/>
      <c r="F30" s="8"/>
    </row>
    <row r="31" spans="2:6" ht="14.4" x14ac:dyDescent="0.3">
      <c r="C31" s="10"/>
      <c r="D31" s="10"/>
      <c r="E31" s="32" t="s">
        <v>103</v>
      </c>
      <c r="F31" s="15">
        <f>F3+F21+F27</f>
        <v>11806.375</v>
      </c>
    </row>
    <row r="33" spans="3:6" x14ac:dyDescent="0.3">
      <c r="F33" s="11"/>
    </row>
    <row r="36" spans="3:6" x14ac:dyDescent="0.3">
      <c r="C36" s="5" t="s">
        <v>65</v>
      </c>
      <c r="D36" s="8">
        <f>importe</f>
        <v>11806.375</v>
      </c>
    </row>
    <row r="37" spans="3:6" x14ac:dyDescent="0.3">
      <c r="C37" s="5" t="s">
        <v>66</v>
      </c>
      <c r="D37" s="11">
        <f>F3+F23+F24+F25+F26+F28+F29</f>
        <v>11017.313999999998</v>
      </c>
    </row>
    <row r="38" spans="3:6" x14ac:dyDescent="0.3">
      <c r="C38" s="5" t="s">
        <v>67</v>
      </c>
      <c r="D38" s="11">
        <f>D36-D37</f>
        <v>789.06100000000151</v>
      </c>
      <c r="F38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0"/>
  <sheetViews>
    <sheetView zoomScale="130" zoomScaleNormal="130" workbookViewId="0">
      <selection activeCell="C12" sqref="B2:C12"/>
    </sheetView>
  </sheetViews>
  <sheetFormatPr baseColWidth="10" defaultColWidth="11.5546875" defaultRowHeight="10.199999999999999" x14ac:dyDescent="0.3"/>
  <cols>
    <col min="1" max="1" width="11.5546875" style="1"/>
    <col min="2" max="2" width="47.6640625" style="1" customWidth="1"/>
    <col min="3" max="3" width="16" style="1" customWidth="1"/>
    <col min="4" max="16384" width="11.5546875" style="1"/>
  </cols>
  <sheetData>
    <row r="2" spans="2:5" s="19" customFormat="1" ht="24" customHeight="1" x14ac:dyDescent="0.3">
      <c r="B2" s="18" t="s">
        <v>21</v>
      </c>
      <c r="C2" s="18" t="s">
        <v>22</v>
      </c>
    </row>
    <row r="3" spans="2:5" ht="18.600000000000001" customHeight="1" x14ac:dyDescent="0.3">
      <c r="B3" s="4" t="s">
        <v>18</v>
      </c>
      <c r="C3" s="17">
        <v>11806.375</v>
      </c>
    </row>
    <row r="4" spans="2:5" ht="12" x14ac:dyDescent="0.3">
      <c r="B4" s="16"/>
      <c r="C4" s="4"/>
      <c r="E4" s="2"/>
    </row>
    <row r="5" spans="2:5" ht="12" x14ac:dyDescent="0.3">
      <c r="B5" s="4" t="s">
        <v>91</v>
      </c>
      <c r="C5" s="17">
        <f>0.06*C3</f>
        <v>708.38249999999994</v>
      </c>
    </row>
    <row r="6" spans="2:5" x14ac:dyDescent="0.3">
      <c r="B6" s="34" t="s">
        <v>92</v>
      </c>
      <c r="C6" s="35">
        <f>0.13*C3</f>
        <v>1534.8287500000001</v>
      </c>
    </row>
    <row r="8" spans="2:5" x14ac:dyDescent="0.3">
      <c r="B8" s="34" t="s">
        <v>96</v>
      </c>
      <c r="C8" s="35">
        <f>SUM(C3:C6)</f>
        <v>14049.58625</v>
      </c>
    </row>
    <row r="10" spans="2:5" ht="12" x14ac:dyDescent="0.3">
      <c r="B10" s="4" t="s">
        <v>19</v>
      </c>
      <c r="C10" s="17">
        <f>0.21*C8</f>
        <v>2950.4131124999999</v>
      </c>
      <c r="E10" s="2"/>
    </row>
    <row r="11" spans="2:5" ht="12" x14ac:dyDescent="0.3">
      <c r="B11" s="16"/>
      <c r="C11" s="4"/>
    </row>
    <row r="12" spans="2:5" s="19" customFormat="1" ht="24" customHeight="1" x14ac:dyDescent="0.3">
      <c r="B12" s="18" t="s">
        <v>20</v>
      </c>
      <c r="C12" s="20">
        <f>C8+C10</f>
        <v>16999.999362499999</v>
      </c>
    </row>
    <row r="16" spans="2:5" x14ac:dyDescent="0.3">
      <c r="C16" s="33"/>
    </row>
    <row r="18" spans="3:5" x14ac:dyDescent="0.3">
      <c r="C18" s="33">
        <f>C17/1.19</f>
        <v>0</v>
      </c>
      <c r="E18" s="1">
        <f>E16-26</f>
        <v>-26</v>
      </c>
    </row>
    <row r="20" spans="3:5" x14ac:dyDescent="0.3">
      <c r="C2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25</vt:i4>
      </vt:variant>
    </vt:vector>
  </HeadingPairs>
  <TitlesOfParts>
    <vt:vector size="28" baseType="lpstr">
      <vt:lpstr>Datos de partida</vt:lpstr>
      <vt:lpstr>Desglosado</vt:lpstr>
      <vt:lpstr>General</vt:lpstr>
      <vt:lpstr>cuadro_ca</vt:lpstr>
      <vt:lpstr>cuadro_ca_precio</vt:lpstr>
      <vt:lpstr>cuadro_cc</vt:lpstr>
      <vt:lpstr>cuadro_cc_precio</vt:lpstr>
      <vt:lpstr>des_modulos</vt:lpstr>
      <vt:lpstr>dif</vt:lpstr>
      <vt:lpstr>dif_precio</vt:lpstr>
      <vt:lpstr>estructura</vt:lpstr>
      <vt:lpstr>importe</vt:lpstr>
      <vt:lpstr>inversor</vt:lpstr>
      <vt:lpstr>Inversor__precio</vt:lpstr>
      <vt:lpstr>inversor_precio</vt:lpstr>
      <vt:lpstr>m_cablesolar</vt:lpstr>
      <vt:lpstr>m_tuboh</vt:lpstr>
      <vt:lpstr>meter</vt:lpstr>
      <vt:lpstr>mo_cab</vt:lpstr>
      <vt:lpstr>mo_mon</vt:lpstr>
      <vt:lpstr>mo_prog</vt:lpstr>
      <vt:lpstr>mo_prot</vt:lpstr>
      <vt:lpstr>mo_vf</vt:lpstr>
      <vt:lpstr>n_mc4</vt:lpstr>
      <vt:lpstr>nmodulos</vt:lpstr>
      <vt:lpstr>pia</vt:lpstr>
      <vt:lpstr>pia_precio</vt:lpstr>
      <vt:lpstr>sec_ca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Solay Fotovoltaica</cp:lastModifiedBy>
  <dcterms:created xsi:type="dcterms:W3CDTF">2021-04-07T08:57:05Z</dcterms:created>
  <dcterms:modified xsi:type="dcterms:W3CDTF">2024-12-26T08:32:27Z</dcterms:modified>
</cp:coreProperties>
</file>