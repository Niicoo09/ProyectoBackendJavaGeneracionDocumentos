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40\10.- Ágora\4.- Licencias Urbanísticas\"/>
    </mc:Choice>
  </mc:AlternateContent>
  <xr:revisionPtr revIDLastSave="0" documentId="13_ncr:1_{C8D5D980-F96E-4B02-A1A6-16B53672276E}" xr6:coauthVersionLast="47" xr6:coauthVersionMax="47" xr10:uidLastSave="{00000000-0000-0000-0000-000000000000}"/>
  <bookViews>
    <workbookView xWindow="28680" yWindow="-120" windowWidth="29040" windowHeight="15720" xr2:uid="{61D407A1-9191-4509-B85E-69A6C1FDDE49}"/>
  </bookViews>
  <sheets>
    <sheet name="Cálcul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C8" i="2" s="1"/>
  <c r="C4" i="2" l="1"/>
  <c r="C5" i="2" s="1"/>
  <c r="C6" i="2" l="1"/>
</calcChain>
</file>

<file path=xl/sharedStrings.xml><?xml version="1.0" encoding="utf-8"?>
<sst xmlns="http://schemas.openxmlformats.org/spreadsheetml/2006/main" count="10" uniqueCount="10">
  <si>
    <t>Presupuesto de Ejecución Material – P.E.M.:</t>
  </si>
  <si>
    <t>Presupuesto de Ejecución del Contrato – P.E.C.:</t>
  </si>
  <si>
    <t>21% de IVA sobre el P.E.C.:</t>
  </si>
  <si>
    <t>Presupuesto Total (IVA incluido):</t>
  </si>
  <si>
    <t>13% de Gastos Generales:</t>
  </si>
  <si>
    <t>6% de Beneficio Industrial:</t>
  </si>
  <si>
    <t>Concepto</t>
  </si>
  <si>
    <t>Cantidad (€)</t>
  </si>
  <si>
    <t xml:space="preserve">ACLARACIÓN DEL PRESUPUESTO </t>
  </si>
  <si>
    <t xml:space="preserve">PRESUPUESTO A TENER EN CUENTA PARA EL CÁLCULO DE LAS TASAS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</si>
</sst>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7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theme="1" tint="0.249977111117893"/>
      <name val="Times New Roman"/>
      <family val="1"/>
    </font>
    <font>
      <b/>
      <sz val="12"/>
      <color theme="1" tint="0.24997711111789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 vertical="center"/>
    </xf>
    <xf numFmtId="8" fontId="1" fillId="0" borderId="0" xfId="0" applyNumberFormat="1" applyFont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indent="4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8" fontId="5" fillId="4" borderId="1" xfId="0" applyNumberFormat="1" applyFont="1" applyFill="1" applyBorder="1" applyAlignment="1">
      <alignment horizontal="center" vertical="center"/>
    </xf>
    <xf numFmtId="8" fontId="5" fillId="0" borderId="1" xfId="0" applyNumberFormat="1" applyFont="1" applyBorder="1" applyAlignment="1">
      <alignment horizontal="center" vertical="center"/>
    </xf>
    <xf numFmtId="8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4C20-5D6D-472F-A97D-A0D139DE5D6A}">
  <dimension ref="B2:E16"/>
  <sheetViews>
    <sheetView showGridLines="0" tabSelected="1" zoomScale="145" zoomScaleNormal="145" workbookViewId="0">
      <selection activeCell="C9" sqref="C9"/>
    </sheetView>
  </sheetViews>
  <sheetFormatPr baseColWidth="10" defaultRowHeight="10.199999999999999" x14ac:dyDescent="0.3"/>
  <cols>
    <col min="1" max="1" width="11.5546875" style="1"/>
    <col min="2" max="2" width="84.33203125" style="1" customWidth="1"/>
    <col min="3" max="3" width="14.5546875" style="1" customWidth="1"/>
    <col min="4" max="16384" width="11.5546875" style="1"/>
  </cols>
  <sheetData>
    <row r="2" spans="2:5" ht="24" customHeight="1" x14ac:dyDescent="0.3">
      <c r="B2" s="3" t="s">
        <v>8</v>
      </c>
      <c r="C2" s="4"/>
    </row>
    <row r="3" spans="2:5" ht="25.05" customHeight="1" x14ac:dyDescent="0.3">
      <c r="B3" s="5" t="s">
        <v>6</v>
      </c>
      <c r="C3" s="5" t="s">
        <v>7</v>
      </c>
    </row>
    <row r="4" spans="2:5" ht="25.05" customHeight="1" x14ac:dyDescent="0.3">
      <c r="B4" s="6" t="s">
        <v>0</v>
      </c>
      <c r="C4" s="11">
        <f>C7/(1.19)</f>
        <v>7083.8252656434488</v>
      </c>
    </row>
    <row r="5" spans="2:5" ht="25.05" customHeight="1" x14ac:dyDescent="0.3">
      <c r="B5" s="7" t="s">
        <v>4</v>
      </c>
      <c r="C5" s="12">
        <f>C4*0.13</f>
        <v>920.89728453364842</v>
      </c>
    </row>
    <row r="6" spans="2:5" ht="25.05" customHeight="1" x14ac:dyDescent="0.3">
      <c r="B6" s="7" t="s">
        <v>5</v>
      </c>
      <c r="C6" s="12">
        <f>C4*0.06</f>
        <v>425.02951593860689</v>
      </c>
    </row>
    <row r="7" spans="2:5" ht="25.05" customHeight="1" x14ac:dyDescent="0.3">
      <c r="B7" s="8" t="s">
        <v>1</v>
      </c>
      <c r="C7" s="12">
        <f>C9/1.21</f>
        <v>8429.7520661157032</v>
      </c>
    </row>
    <row r="8" spans="2:5" ht="25.05" customHeight="1" x14ac:dyDescent="0.3">
      <c r="B8" s="8" t="s">
        <v>2</v>
      </c>
      <c r="C8" s="12">
        <f>C7*0.21</f>
        <v>1770.2479338842977</v>
      </c>
      <c r="E8" s="2"/>
    </row>
    <row r="9" spans="2:5" ht="15.6" x14ac:dyDescent="0.3">
      <c r="B9" s="9" t="s">
        <v>3</v>
      </c>
      <c r="C9" s="13">
        <v>10200</v>
      </c>
    </row>
    <row r="10" spans="2:5" x14ac:dyDescent="0.3">
      <c r="B10" s="10"/>
      <c r="C10" s="10"/>
    </row>
    <row r="11" spans="2:5" x14ac:dyDescent="0.3">
      <c r="B11" s="10"/>
      <c r="C11" s="10"/>
    </row>
    <row r="12" spans="2:5" ht="15.6" x14ac:dyDescent="0.3">
      <c r="B12" s="9" t="s">
        <v>9</v>
      </c>
      <c r="C12" s="11">
        <v>7083.83</v>
      </c>
    </row>
    <row r="16" spans="2:5" x14ac:dyDescent="0.3">
      <c r="C16" s="2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Cálculo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Mónica Suárez Cárdenas</cp:lastModifiedBy>
  <cp:lastPrinted>2026-06-10T09:34:05Z</cp:lastPrinted>
  <dcterms:created xsi:type="dcterms:W3CDTF">2021-04-07T08:57:05Z</dcterms:created>
  <dcterms:modified xsi:type="dcterms:W3CDTF">2026-06-10T09:34:07Z</dcterms:modified>
</cp:coreProperties>
</file>